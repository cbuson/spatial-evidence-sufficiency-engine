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03fa75fac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bb2207dbbd2465b"/>
    <x:sheet xmlns:r="http://schemas.openxmlformats.org/officeDocument/2006/relationships" name="01_FORMAL_MODEL" sheetId="2" r:id="Rb498b6d57cb74be6"/>
    <x:sheet xmlns:r="http://schemas.openxmlformats.org/officeDocument/2006/relationships" name="02_EVIDENCE_STATES" sheetId="3" r:id="Rf1ccd217aea2415c"/>
    <x:sheet xmlns:r="http://schemas.openxmlformats.org/officeDocument/2006/relationships" name="03_TARGET_LOGIC" sheetId="4" r:id="R97c290f81dd145f9"/>
    <x:sheet xmlns:r="http://schemas.openxmlformats.org/officeDocument/2006/relationships" name="04_APPLICATIONS" sheetId="5" r:id="Rbff24a4bafdb4e68"/>
    <x:sheet xmlns:r="http://schemas.openxmlformats.org/officeDocument/2006/relationships" name="05_METHOD_GENEALOGY" sheetId="6" r:id="R9994c32dbccc45f5"/>
    <x:sheet xmlns:r="http://schemas.openxmlformats.org/officeDocument/2006/relationships" name="06_IMPLEMENTATION_EVIDENCE" sheetId="7" r:id="R7cbaba1080554875"/>
    <x:sheet xmlns:r="http://schemas.openxmlformats.org/officeDocument/2006/relationships" name="07_DEVELOPMENT_TRACE" sheetId="8" r:id="R3e9b02624e224ea3"/>
    <x:sheet xmlns:r="http://schemas.openxmlformats.org/officeDocument/2006/relationships" name="08_REFERENCE_SCHEMA" sheetId="9" r:id="Ra2024720a420427f"/>
    <x:sheet xmlns:r="http://schemas.openxmlformats.org/officeDocument/2006/relationships" name="09_AUDIT_TRACE" sheetId="10" r:id="Rce8c206f292a4190"/>
    <x:sheet xmlns:r="http://schemas.openxmlformats.org/officeDocument/2006/relationships" name="10_SUMMARY" sheetId="11" r:id="Rd63ea2666a3e4b1f"/>
    <x:sheet xmlns:r="http://schemas.openxmlformats.org/officeDocument/2006/relationships" name="11_TA_VOCABULARY_MAP" sheetId="12" r:id="R0f7535a5478443f4"/>
    <x:sheet xmlns:r="http://schemas.openxmlformats.org/officeDocument/2006/relationships" name="12_COMMON_CORE_LOGIC" sheetId="13" r:id="R288425e6fa804933"/>
    <x:sheet xmlns:r="http://schemas.openxmlformats.org/officeDocument/2006/relationships" name="13_LOGIC_AUDIT_EVIDENCE" sheetId="14" r:id="Rbe509bec78b048fa"/>
    <x:sheet xmlns:r="http://schemas.openxmlformats.org/officeDocument/2006/relationships" name="14_V3_FORMALIZATION" sheetId="15" r:id="Rc7618c4a4540447c"/>
    <x:sheet xmlns:r="http://schemas.openxmlformats.org/officeDocument/2006/relationships" name="15_DEFINITIVE_COMMON_MATRIX" sheetId="16" r:id="R83b577d7539542c9"/>
    <x:sheet xmlns:r="http://schemas.openxmlformats.org/officeDocument/2006/relationships" name="16_TB_PAG_REPRODUCTION" sheetId="17" r:id="Re99beb9591cb477f"/>
    <x:sheet xmlns:r="http://schemas.openxmlformats.org/officeDocument/2006/relationships" name="17_PAG_SUPPORT_EFFECT" sheetId="18" r:id="R893ea3c1cd064d37"/>
    <x:sheet xmlns:r="http://schemas.openxmlformats.org/officeDocument/2006/relationships" name="18_TD_CONTRACT_SENSITIVITY" sheetId="19" r:id="Re83593719c344f03"/>
    <x:sheet xmlns:r="http://schemas.openxmlformats.org/officeDocument/2006/relationships" name="19_ITA_QUANTITATIVE_AUDIT" sheetId="20" r:id="Rf31f7bb04e4b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name val="Carlito"/>
    </x:font>
  </x:fonts>
  <x:fills count="3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left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4" fillId="23" borderId="0" xfId="0" applyNumberFormat="1" applyFont="1" applyFill="1" applyBorder="1"/>
    <x:xf numFmtId="0" fontId="4" fillId="23" borderId="0" xfId="0" applyNumberFormat="1" applyFont="1" applyFill="1" applyBorder="1" applyAlignment="1">
      <x:alignment wrapText="1"/>
    </x:xf>
    <x:xf numFmtId="0" fontId="4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1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7" fillId="31" borderId="0" xfId="0" applyNumberFormat="1" applyFont="1" applyFill="1" applyBorder="1"/>
    <x:xf numFmtId="0" fontId="7" fillId="31" borderId="0" xfId="0" applyNumberFormat="1" applyFont="1" applyFill="1" applyBorder="1" applyAlignment="1">
      <x:alignment wrapText="1"/>
    </x:xf>
    <x:xf numFmtId="0" fontId="7" fillId="31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3" fillId="32" borderId="0" xfId="0" applyNumberFormat="1" applyFont="1" applyFill="1" applyBorder="1" applyAlignment="1">
      <x:alignment horizontal="center" wrapText="1"/>
    </x:xf>
    <x:xf numFmtId="0" fontId="3" fillId="3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/>
    <x:xf numFmtId="0" fontId="6" fillId="33" borderId="0" xfId="0" applyNumberFormat="1" applyFont="1" applyFill="1" applyBorder="1"/>
    <x:xf numFmtId="0" fontId="6" fillId="3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7" fillId="35" borderId="0" xfId="0" applyNumberFormat="1" applyFont="1" applyFill="1" applyBorder="1"/>
    <x:xf numFmtId="0" fontId="7" fillId="35" borderId="0" xfId="0" applyNumberFormat="1" applyFont="1" applyFill="1" applyBorder="1" applyAlignment="1">
      <x:alignment wrapText="1"/>
    </x:xf>
    <x:xf numFmtId="0" fontId="7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horizontal="center" wrapText="1"/>
    </x:xf>
    <x:xf numFmtId="0" fontId="3" fillId="3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6" fillId="37" borderId="0" xfId="0" applyNumberFormat="1" applyFont="1" applyFill="1" applyBorder="1"/>
    <x:xf numFmtId="0" fontId="6" fillId="3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08089eef949c7" /><Relationship Type="http://schemas.openxmlformats.org/officeDocument/2006/relationships/theme" Target="/xl/theme/theme1.xml" Id="R4df59baa25c44b0b" /><Relationship Type="http://schemas.openxmlformats.org/officeDocument/2006/relationships/sharedStrings" Target="/xl/sharedStrings.xml" Id="Rf40c7cffb93d401b" /><Relationship Type="http://schemas.openxmlformats.org/officeDocument/2006/relationships/worksheet" Target="/xl/worksheets/sheet1.xml" Id="R2bb2207dbbd2465b" /><Relationship Type="http://schemas.openxmlformats.org/officeDocument/2006/relationships/worksheet" Target="/xl/worksheets/sheet2.xml" Id="Rb498b6d57cb74be6" /><Relationship Type="http://schemas.openxmlformats.org/officeDocument/2006/relationships/worksheet" Target="/xl/worksheets/sheet3.xml" Id="Rf1ccd217aea2415c" /><Relationship Type="http://schemas.openxmlformats.org/officeDocument/2006/relationships/worksheet" Target="/xl/worksheets/sheet4.xml" Id="R97c290f81dd145f9" /><Relationship Type="http://schemas.openxmlformats.org/officeDocument/2006/relationships/worksheet" Target="/xl/worksheets/sheet5.xml" Id="Rbff24a4bafdb4e68" /><Relationship Type="http://schemas.openxmlformats.org/officeDocument/2006/relationships/worksheet" Target="/xl/worksheets/sheet6.xml" Id="R9994c32dbccc45f5" /><Relationship Type="http://schemas.openxmlformats.org/officeDocument/2006/relationships/worksheet" Target="/xl/worksheets/sheet7.xml" Id="R7cbaba1080554875" /><Relationship Type="http://schemas.openxmlformats.org/officeDocument/2006/relationships/worksheet" Target="/xl/worksheets/sheet8.xml" Id="R3e9b02624e224ea3" /><Relationship Type="http://schemas.openxmlformats.org/officeDocument/2006/relationships/worksheet" Target="/xl/worksheets/sheet9.xml" Id="Ra2024720a420427f" /><Relationship Type="http://schemas.openxmlformats.org/officeDocument/2006/relationships/worksheet" Target="/xl/worksheets/sheet10.xml" Id="Rce8c206f292a4190" /><Relationship Type="http://schemas.openxmlformats.org/officeDocument/2006/relationships/worksheet" Target="/xl/worksheets/sheet11.xml" Id="Rd63ea2666a3e4b1f" /><Relationship Type="http://schemas.openxmlformats.org/officeDocument/2006/relationships/worksheet" Target="/xl/worksheets/sheet12.xml" Id="R0f7535a5478443f4" /><Relationship Type="http://schemas.openxmlformats.org/officeDocument/2006/relationships/worksheet" Target="/xl/worksheets/sheet13.xml" Id="R288425e6fa804933" /><Relationship Type="http://schemas.openxmlformats.org/officeDocument/2006/relationships/worksheet" Target="/xl/worksheets/sheet14.xml" Id="Rbe509bec78b048fa" /><Relationship Type="http://schemas.openxmlformats.org/officeDocument/2006/relationships/worksheet" Target="/xl/worksheets/sheet15.xml" Id="Rc7618c4a4540447c" /><Relationship Type="http://schemas.openxmlformats.org/officeDocument/2006/relationships/worksheet" Target="/xl/worksheets/sheet16.xml" Id="R83b577d7539542c9" /><Relationship Type="http://schemas.openxmlformats.org/officeDocument/2006/relationships/worksheet" Target="/xl/worksheets/sheet17.xml" Id="Re99beb9591cb477f" /><Relationship Type="http://schemas.openxmlformats.org/officeDocument/2006/relationships/worksheet" Target="/xl/worksheets/sheet18.xml" Id="R893ea3c1cd064d37" /><Relationship Type="http://schemas.openxmlformats.org/officeDocument/2006/relationships/worksheet" Target="/xl/worksheets/sheet19.xml" Id="Re83593719c344f03" /><Relationship Type="http://schemas.openxmlformats.org/officeDocument/2006/relationships/worksheet" Target="/xl/worksheets/sheet20.xml" Id="Rf31f7bb04e4b4d26" /></Relationships>
</file>

<file path=xl/tables/table1.xml><?xml version="1.0" encoding="utf-8"?>
<x:table xmlns:x="http://schemas.openxmlformats.org/spreadsheetml/2006/main" id="1" name="TAVocabularyMap" displayName="TAVocabularyMap" ref="A4:I25" headerRowCount="1" totalsRowCount="0" totalsRowShown="0">
  <x:tableColumns count="9">
    <x:tableColumn id="1" name="Application"/>
    <x:tableColumn id="2" name="Native object / state"/>
    <x:tableColumn id="3" name="Native meaning documented in V2"/>
    <x:tableColumn id="4" name="Generic evidence state"/>
    <x:tableColumn id="5" name="Requirement result qᵢ"/>
    <x:tableColumn id="6" name="Target state I(x,s,T)"/>
    <x:tableColumn id="7" name="Mapping status"/>
    <x:tableColumn id="8" name="Rationale / unresolved point"/>
    <x:tableColumn id="9" name="Source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.xml" Id="R90bce1b84d9444e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>
      <x:c r="A1" s="5" t="str">
        <x:v>Spatial Evidence-Sufficiency Methodology — Supplementary Workbook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Purpose</x:v>
      </x:c>
      <x:c r="B3" s="18" t="str">
        <x:v>Document the integrated methodology, its scientific safeguards, development applications, implementation evidence and reusable schema.</x:v>
      </x:c>
    </x:row>
    <x:row r="4">
      <x:c r="A4" s="13" t="str">
        <x:v>Core question</x:v>
      </x:c>
      <x:c r="B4" s="18" t="str">
        <x:v>For scientific target T, at spatial unit x and support s, does the available evidence permit the inference, reject it, or leave it non-evaluable?</x:v>
      </x:c>
    </x:row>
    <x:row r="5">
      <x:c r="A5" s="13" t="str">
        <x:v>Core chain</x:v>
      </x:c>
      <x:c r="B5" s="18" t="str">
        <x:v>Spatial unit → typed evidence → target-specific requirements → requirement states → bounded target state → bottlenecks → evidence/research action.</x:v>
      </x:c>
    </x:row>
    <x:row r="6">
      <x:c r="A6" s="13" t="str">
        <x:v>Not a prediction engine</x:v>
      </x:c>
      <x:c r="B6" s="18" t="str">
        <x:v>The generic method does not estimate phenomenon occurrence, probability, resource potential, groundwater potential, legitimacy or authorization.</x:v>
      </x:c>
    </x:row>
    <x:row r="7">
      <x:c r="A7" s="13" t="str">
        <x:v>Spatial robustness</x:v>
      </x:c>
      <x:c r="B7" s="18" t="str">
        <x:v>Scale, support, zoning and version sensitivity are optional extensions, not assumptions of the minimum model.</x:v>
      </x:c>
    </x:row>
    <x:row r="8">
      <x:c r="A8" s="13" t="str">
        <x:v>Applications</x:v>
      </x:c>
      <x:c r="B8" s="18" t="str">
        <x:v>JOAJU MS, ITA ARANDU MS, PAG-ETR MS and PIH-MS are development/application cases, not independent replications.</x:v>
      </x:c>
    </x:row>
    <x:row r="9">
      <x:c r="A9" s="13" t="str">
        <x:v>Development traceability</x:v>
      </x:c>
      <x:c r="B9" s="18" t="str">
        <x:v>Lineage, transfer and D/E/M/R evidence are retained as supplementary provenance of methodological construction, not as the main contribution.</x:v>
      </x:c>
    </x:row>
    <x:row r="10">
      <x:c r="A10" s="13" t="str">
        <x:v>Reference implementation</x:v>
      </x:c>
      <x:c r="B10" s="18" t="str">
        <x:v>Companion Python package evaluates target contracts and preserves typed evidence states and exact bottlenecks.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5" hidden="0" customWidth="1"/>
    <x:col min="4" max="4" width="60" hidden="0" customWidth="1"/>
    <x:col min="5" max="5" width="64" hidden="0" customWidth="1"/>
  </x:cols>
  <x:sheetData>
    <x:row r="1">
      <x:c r="A1" s="24" t="str">
        <x:v>Step</x:v>
      </x:c>
      <x:c r="B1" s="24" t="str">
        <x:v>Object</x:v>
      </x:c>
      <x:c r="C1" s="24" t="str">
        <x:v>Notation</x:v>
      </x:c>
      <x:c r="D1" s="24" t="str">
        <x:v>Operational meaning</x:v>
      </x:c>
      <x:c r="E1" s="24" t="str">
        <x:v>Scientific safeguard</x:v>
      </x:c>
    </x:row>
    <x:row r="2">
      <x:c r="A2" s="18" t="str">
        <x:v>1</x:v>
      </x:c>
      <x:c r="B2" s="18" t="str">
        <x:v>Spatial unit</x:v>
      </x:c>
      <x:c r="C2" s="18" t="str">
        <x:v>x, s</x:v>
      </x:c>
      <x:c r="D2" s="18" t="str">
        <x:v>Analytical unit and support/scale/partition scenario</x:v>
      </x:c>
      <x:c r="E2" s="18" t="str">
        <x:v>Unit of evaluability, not assumed homogeneous phenomenon</x:v>
      </x:c>
    </x:row>
    <x:row r="3">
      <x:c r="A3" s="18" t="str">
        <x:v>2</x:v>
      </x:c>
      <x:c r="B3" s="18" t="str">
        <x:v>Evidence set</x:v>
      </x:c>
      <x:c r="C3" s="18" t="str">
        <x:v>E(x,s)</x:v>
      </x:c>
      <x:c r="D3" s="18" t="str">
        <x:v>Traceable evidence records associated with x under support s</x:v>
      </x:c>
      <x:c r="E3" s="18" t="str">
        <x:v>Keep source and semantic state</x:v>
      </x:c>
    </x:row>
    <x:row r="4">
      <x:c r="A4" s="18" t="str">
        <x:v>3</x:v>
      </x:c>
      <x:c r="B4" s="18" t="str">
        <x:v>Scientific target</x:v>
      </x:c>
      <x:c r="C4" s="18" t="str">
        <x:v>T</x:v>
      </x:c>
      <x:c r="D4" s="18" t="str">
        <x:v>Explicit question or inference to be evaluated</x:v>
      </x:c>
      <x:c r="E4" s="18" t="str">
        <x:v>Avoid generic score as starting point</x:v>
      </x:c>
    </x:row>
    <x:row r="5">
      <x:c r="A5" s="18" t="str">
        <x:v>4</x:v>
      </x:c>
      <x:c r="B5" s="18" t="str">
        <x:v>Evidence contract</x:v>
      </x:c>
      <x:c r="C5" s="18" t="str">
        <x:v>R(T)={r1...rn}</x:v>
      </x:c>
      <x:c r="D5" s="18" t="str">
        <x:v>Requirements needed for target T</x:v>
      </x:c>
      <x:c r="E5" s="18" t="str">
        <x:v>Mark critical requirements</x:v>
      </x:c>
    </x:row>
    <x:row r="6">
      <x:c r="A6" s="18" t="str">
        <x:v>5</x:v>
      </x:c>
      <x:c r="B6" s="18" t="str">
        <x:v>Requirement evaluator</x:v>
      </x:c>
      <x:c r="C6" s="18" t="str">
        <x:v>qi=φi[E,r_i]</x:v>
      </x:c>
      <x:c r="D6" s="18" t="str">
        <x:v>PASS / FAIL / UNKNOWN / CONFLICT / NA / INVALID</x:v>
      </x:c>
      <x:c r="E6" s="18" t="str">
        <x:v>No compensation for critical deficits</x:v>
      </x:c>
    </x:row>
    <x:row r="7">
      <x:c r="A7" s="18" t="str">
        <x:v>6</x:v>
      </x:c>
      <x:c r="B7" s="18" t="str">
        <x:v>Target state</x:v>
      </x:c>
      <x:c r="C7" s="18" t="str">
        <x:v>I(x,s,T)</x:v>
      </x:c>
      <x:c r="D7" s="18" t="str">
        <x:v>SUPPORTABLE / REJECTED_BY_EVIDENCE / NON_EVALUABLE / NOT_APPLICABLE</x:v>
      </x:c>
      <x:c r="E7" s="18" t="str">
        <x:v>Inference-control state, not phenomenon probability</x:v>
      </x:c>
    </x:row>
    <x:row r="8">
      <x:c r="A8" s="18" t="str">
        <x:v>7</x:v>
      </x:c>
      <x:c r="B8" s="18" t="str">
        <x:v>Bottlenecks</x:v>
      </x:c>
      <x:c r="C8" s="18" t="str">
        <x:v>B(x,s,T)</x:v>
      </x:c>
      <x:c r="D8" s="18" t="str">
        <x:v>Exact critical requirements preventing SUPPORTABLE</x:v>
      </x:c>
      <x:c r="E8" s="18" t="str">
        <x:v>Supports targeted evidence acquisition</x:v>
      </x:c>
    </x:row>
    <x:row r="9">
      <x:c r="A9" s="18" t="str">
        <x:v>8</x:v>
      </x:c>
      <x:c r="B9" s="18" t="str">
        <x:v>Claim firewall</x:v>
      </x:c>
      <x:c r="C9" s="18" t="str">
        <x:v>F(T)</x:v>
      </x:c>
      <x:c r="D9" s="18" t="str">
        <x:v>Statement of what target state does not imply</x:v>
      </x:c>
      <x:c r="E9" s="18" t="str">
        <x:v>Separates sufficiency from potential/authorization/legitimacy</x:v>
      </x:c>
    </x:row>
    <x:row r="10">
      <x:c r="A10" s="18" t="str">
        <x:v>9</x:v>
      </x:c>
      <x:c r="B10" s="18" t="str">
        <x:v>Provenance axis</x:v>
      </x:c>
      <x:c r="C10" s="18" t="str">
        <x:v>source↔evidence↔requirement↔state</x:v>
      </x:c>
      <x:c r="D10" s="18" t="str">
        <x:v>Traceability and reproducibility</x:v>
      </x:c>
      <x:c r="E10" s="18" t="str">
        <x:v>Necessary but not equivalent to epistemic sufficiency</x:v>
      </x:c>
    </x:row>
    <x:row r="11">
      <x:c r="A11" s="18" t="str">
        <x:v>10</x:v>
      </x:c>
      <x:c r="B11" s="18" t="str">
        <x:v>Robustness layer</x:v>
      </x:c>
      <x:c r="C11" s="18" t="str">
        <x:v>s1,s2,... / origins / versions</x:v>
      </x:c>
      <x:c r="D11" s="18" t="str">
        <x:v>Compare state stability across support and zoning</x:v>
      </x:c>
      <x:c r="E11" s="18" t="str">
        <x:v>Optional extension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54" hidden="0" customWidth="1"/>
    <x:col min="4" max="4" width="54" hidden="0" customWidth="1"/>
  </x:cols>
  <x:sheetData>
    <x:row r="1">
      <x:c r="A1" s="24" t="str">
        <x:v>State</x:v>
      </x:c>
      <x:c r="B1" s="24" t="str">
        <x:v>Meaning</x:v>
      </x:c>
      <x:c r="C1" s="24" t="str">
        <x:v>Operational consequence</x:v>
      </x:c>
      <x:c r="D1" s="24" t="str">
        <x:v>Forbidden collapse</x:v>
      </x:c>
    </x:row>
    <x:row r="2">
      <x:c r="A2" s="18" t="str">
        <x:v>SUPPORTED</x:v>
      </x:c>
      <x:c r="B2" s="18" t="str">
        <x:v>Evidence supports the represented condition</x:v>
      </x:c>
      <x:c r="C2" s="18" t="str">
        <x:v>May satisfy a requirement if accepted by its contract</x:v>
      </x:c>
      <x:c r="D2" s="18" t="str">
        <x:v>Target occurrence not implied</x:v>
      </x:c>
    </x:row>
    <x:row r="3">
      <x:c r="A3" s="18" t="str">
        <x:v>VERIFIED_NEGATIVE</x:v>
      </x:c>
      <x:c r="B3" s="18" t="str">
        <x:v>Adequate evidence supports failure/absence of represented condition</x:v>
      </x:c>
      <x:c r="C3" s="18" t="str">
        <x:v>Can generate FAIL / fatal flaw</x:v>
      </x:c>
      <x:c r="D3" s="18" t="str">
        <x:v>Must not be confused with missing data</x:v>
      </x:c>
    </x:row>
    <x:row r="4">
      <x:c r="A4" s="18" t="str">
        <x:v>UNKNOWN</x:v>
      </x:c>
      <x:c r="B4" s="18" t="str">
        <x:v>Information missing or insufficient</x:v>
      </x:c>
      <x:c r="C4" s="18" t="str">
        <x:v>Produces unresolved requirement unless another domain rule applies</x:v>
      </x:c>
      <x:c r="D4" s="18" t="str">
        <x:v>Never convert automatically to zero/false</x:v>
      </x:c>
    </x:row>
    <x:row r="5">
      <x:c r="A5" s="18" t="str">
        <x:v>CONFLICT</x:v>
      </x:c>
      <x:c r="B5" s="18" t="str">
        <x:v>Adequate evidence remains contradictory</x:v>
      </x:c>
      <x:c r="C5" s="18" t="str">
        <x:v>Produces unresolved requirement</x:v>
      </x:c>
      <x:c r="D5" s="18" t="str">
        <x:v>Do not average away without explicit rule</x:v>
      </x:c>
    </x:row>
    <x:row r="6">
      <x:c r="A6" s="18" t="str">
        <x:v>NOT_APPLICABLE</x:v>
      </x:c>
      <x:c r="B6" s="18" t="str">
        <x:v>Evidence type/requirement does not apply</x:v>
      </x:c>
      <x:c r="C6" s="18" t="str">
        <x:v>Applicability state</x:v>
      </x:c>
      <x:c r="D6" s="18" t="str">
        <x:v>Neither support nor failure</x:v>
      </x:c>
    </x:row>
    <x:row r="7">
      <x:c r="A7" s="18" t="str">
        <x:v>INVALID</x:v>
      </x:c>
      <x:c r="B7" s="18" t="str">
        <x:v>Evidence exists but cannot be used for requirement</x:v>
      </x:c>
      <x:c r="C7" s="18" t="str">
        <x:v>Produces unresolved requirement</x:v>
      </x:c>
      <x:c r="D7" s="18" t="str">
        <x:v>Must not count as valid evidence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8" hidden="0" customWidth="1"/>
    <x:col min="3" max="3" width="62" hidden="0" customWidth="1"/>
    <x:col min="4" max="4" width="52" hidden="0" customWidth="1"/>
  </x:cols>
  <x:sheetData>
    <x:row r="1">
      <x:c r="A1" s="24" t="str">
        <x:v>Critical contract condition</x:v>
      </x:c>
      <x:c r="B1" s="24" t="str">
        <x:v>Target state</x:v>
      </x:c>
      <x:c r="C1" s="24" t="str">
        <x:v>Interpretation</x:v>
      </x:c>
      <x:c r="D1" s="24" t="str">
        <x:v>Safeguard</x:v>
      </x:c>
    </x:row>
    <x:row r="2">
      <x:c r="A2" s="18" t="str">
        <x:v>Any critical requirement = FAIL</x:v>
      </x:c>
      <x:c r="B2" s="18" t="str">
        <x:v>REJECTED_BY_EVIDENCE</x:v>
      </x:c>
      <x:c r="C2" s="18" t="str">
        <x:v>Verified failure is sufficient to block a conjunctive target</x:v>
      </x:c>
      <x:c r="D2" s="18" t="str">
        <x:v>FAIL takes precedence over unresolved states</x:v>
      </x:c>
    </x:row>
    <x:row r="3">
      <x:c r="A3" s="18" t="str">
        <x:v>No critical FAIL; any critical UNKNOWN / CONFLICT / INVALID</x:v>
      </x:c>
      <x:c r="B3" s="18" t="str">
        <x:v>NON_EVALUABLE</x:v>
      </x:c>
      <x:c r="C3" s="18" t="str">
        <x:v>Target cannot be adjudicated with current evidence</x:v>
      </x:c>
      <x:c r="D3" s="18" t="str">
        <x:v>Do not assign neutral score</x:v>
      </x:c>
    </x:row>
    <x:row r="4">
      <x:c r="A4" s="18" t="str">
        <x:v>All critical requirements = NOT_APPLICABLE</x:v>
      </x:c>
      <x:c r="B4" s="18" t="str">
        <x:v>NOT_APPLICABLE</x:v>
      </x:c>
      <x:c r="C4" s="18" t="str">
        <x:v>Target/contract does not apply in context</x:v>
      </x:c>
      <x:c r="D4" s="18" t="str">
        <x:v>Do not interpret as low potential</x:v>
      </x:c>
    </x:row>
    <x:row r="5">
      <x:c r="A5" s="18" t="str">
        <x:v>All applicable critical requirements = PASS</x:v>
      </x:c>
      <x:c r="B5" s="18" t="str">
        <x:v>SUPPORTABLE</x:v>
      </x:c>
      <x:c r="C5" s="18" t="str">
        <x:v>Evidence contract permits the target inference</x:v>
      </x:c>
      <x:c r="D5" s="18" t="str">
        <x:v>Still subject to claim firewall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64" hidden="0" customWidth="1"/>
    <x:col min="4" max="4" width="70" hidden="0" customWidth="1"/>
    <x:col min="5" max="5" width="62" hidden="0" customWidth="1"/>
  </x:cols>
  <x:sheetData>
    <x:row r="1">
      <x:c r="A1" s="24" t="str">
        <x:v>Application</x:v>
      </x:c>
      <x:c r="B1" s="24" t="str">
        <x:v>Scientific problem</x:v>
      </x:c>
      <x:c r="C1" s="24" t="str">
        <x:v>Contribution to methodology</x:v>
      </x:c>
      <x:c r="D1" s="24" t="str">
        <x:v>Quantitative demonstration</x:v>
      </x:c>
      <x:c r="E1" s="24" t="str">
        <x:v>Claim firewall</x:v>
      </x:c>
    </x:row>
    <x:row r="2">
      <x:c r="A2" s="18" t="str">
        <x:v>JOAJU MS</x:v>
      </x:c>
      <x:c r="B2" s="18" t="str">
        <x:v>Territorial/cultural evidence</x:v>
      </x:c>
      <x:c r="C2" s="18" t="str">
        <x:v>Null preservation; positional adequacy; information quality; governance claim boundaries</x:v>
      </x:c>
      <x:c r="D2" s="18" t="str">
        <x:v>IPG: 1,554 cells; 57 documented-result cells; 1,497 null; 122/124 records intersected grid</x:v>
      </x:c>
      <x:c r="E2" s="18" t="str">
        <x:v>No certification/consent/tourism availability inferred</x:v>
      </x:c>
    </x:row>
    <x:row r="3">
      <x:c r="A3" s="18" t="str">
        <x:v>ITA ARANDU MS</x:v>
      </x:c>
      <x:c r="B3" s="18" t="str">
        <x:v>Heterogeneous geoscientific knowledge</x:v>
      </x:c>
      <x:c r="C3" s="18" t="str">
        <x:v>Evidence-type-specific rules; representativity; direct multiscale recalculation; sensitivity tests</x:v>
      </x:c>
      <x:c r="D3" s="18" t="str">
        <x:v>IOD/ICP/IGC computed with distinct rules; 250/500/1000 km² used independently for several indices</x:v>
      </x:c>
      <x:c r="E3" s="18" t="str">
        <x:v>No substitution for field/source-scale limitations</x:v>
      </x:c>
    </x:row>
    <x:row r="4">
      <x:c r="A4" s="18" t="str">
        <x:v>PAG-ETR MS</x:v>
      </x:c>
      <x:c r="B4" s="18" t="str">
        <x:v>REE investigation under incomplete geological evidence</x:v>
      </x:c>
      <x:c r="C4" s="18" t="str">
        <x:v>Typed states; critical gates; non-compensation; evaluability distinct from prospectivity</x:v>
      </x:c>
      <x:c r="D4" s="18" t="str">
        <x:v>M2/M4 reproduced: open cells 49/37/24 at 250/500/1000 km²</x:v>
      </x:c>
      <x:c r="E4" s="18" t="str">
        <x:v>No deposit/resource/reserve/field authorization</x:v>
      </x:c>
    </x:row>
    <x:row r="5">
      <x:c r="A5" s="18" t="str">
        <x:v>PIH-MS</x:v>
      </x:c>
      <x:c r="B5" s="18" t="str">
        <x:v>Hydrogeological sufficiency and research planning</x:v>
      </x:c>
      <x:c r="C5" s="18" t="str">
        <x:v>Question contracts; entity/evidence independence; bottlenecks; scale/origin robustness</x:v>
      </x:c>
      <x:c r="D5" s="18" t="str">
        <x:v>3,877 wells; 45,145 cell-question pairs; 32,405 UNKNOWN; E01-empty cells 79.43%→41.89% as support coarsens</x:v>
      </x:c>
      <x:c r="E5" s="18" t="str">
        <x:v>No groundwater potential/productivity/drilling authorization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8" hidden="0" customWidth="1"/>
    <x:col min="3" max="3" width="54" hidden="0" customWidth="1"/>
    <x:col min="4" max="4" width="28" hidden="0" customWidth="1"/>
  </x:cols>
  <x:sheetData>
    <x:row r="1">
      <x:c r="A1" s="24" t="str">
        <x:v>Tradition</x:v>
      </x:c>
      <x:c r="B1" s="24" t="str">
        <x:v>Established contribution</x:v>
      </x:c>
      <x:c r="C1" s="24" t="str">
        <x:v>Integrated role</x:v>
      </x:c>
      <x:c r="D1" s="24" t="str">
        <x:v>Novelty treatment</x:v>
      </x:c>
    </x:row>
    <x:row r="2">
      <x:c r="A2" s="18" t="str">
        <x:v>Spatial data quality / fitness-for-use</x:v>
      </x:c>
      <x:c r="B2" s="18" t="str">
        <x:v>Purpose-dependent quality and external quality</x:v>
      </x:c>
      <x:c r="C2" s="18" t="str">
        <x:v>Target-specific evidence requirements</x:v>
      </x:c>
      <x:c r="D2" s="18" t="str">
        <x:v>Constituent tradition</x:v>
      </x:c>
    </x:row>
    <x:row r="3">
      <x:c r="A3" s="18" t="str">
        <x:v>Spatial uncertainty / evidential belief</x:v>
      </x:c>
      <x:c r="B3" s="18" t="str">
        <x:v>Support, disbelief, uncertainty, imperfect information</x:v>
      </x:c>
      <x:c r="C3" s="18" t="str">
        <x:v>Typed evidence states</x:v>
      </x:c>
      <x:c r="D3" s="18" t="str">
        <x:v>Constituent tradition</x:v>
      </x:c>
    </x:row>
    <x:row r="4">
      <x:c r="A4" s="18" t="str">
        <x:v>Mineral systems</x:v>
      </x:c>
      <x:c r="B4" s="18" t="str">
        <x:v>Critical processes, fatal flaws, non-compensatory logic</x:v>
      </x:c>
      <x:c r="C4" s="18" t="str">
        <x:v>Critical evidence contract</x:v>
      </x:c>
      <x:c r="D4" s="18" t="str">
        <x:v>Constituent tradition</x:v>
      </x:c>
    </x:row>
    <x:row r="5">
      <x:c r="A5" s="18" t="str">
        <x:v>Groundwater monitoring</x:v>
      </x:c>
      <x:c r="B5" s="18" t="str">
        <x:v>Purpose-specific data elements and minimum requirements</x:v>
      </x:c>
      <x:c r="C5" s="18" t="str">
        <x:v>Question-dependent contracts</x:v>
      </x:c>
      <x:c r="D5" s="18" t="str">
        <x:v>Constituent tradition</x:v>
      </x:c>
    </x:row>
    <x:row r="6">
      <x:c r="A6" s="18" t="str">
        <x:v>Evidence-to-claim / assurance</x:v>
      </x:c>
      <x:c r="B6" s="18" t="str">
        <x:v>Explicit evidence requirements and unsupported claims</x:v>
      </x:c>
      <x:c r="C6" s="18" t="str">
        <x:v>Bounded target state + claim firewall</x:v>
      </x:c>
      <x:c r="D6" s="18" t="str">
        <x:v>Constituent tradition</x:v>
      </x:c>
    </x:row>
    <x:row r="7">
      <x:c r="A7" s="18" t="str">
        <x:v>Evidence gaps / research planning</x:v>
      </x:c>
      <x:c r="B7" s="18" t="str">
        <x:v>Gap type can direct research action</x:v>
      </x:c>
      <x:c r="C7" s="18" t="str">
        <x:v>Bottleneck → evidence action</x:v>
      </x:c>
      <x:c r="D7" s="18" t="str">
        <x:v>Constituent tradition</x:v>
      </x:c>
    </x:row>
    <x:row r="8">
      <x:c r="A8" s="18" t="str">
        <x:v>Provenance / reproducible workflows</x:v>
      </x:c>
      <x:c r="B8" s="18" t="str">
        <x:v>Source-to-output traceability and rerun</x:v>
      </x:c>
      <x:c r="C8" s="18" t="str">
        <x:v>Transversal auditability</x:v>
      </x:c>
      <x:c r="D8" s="18" t="str">
        <x:v>Infrastructure</x:v>
      </x:c>
    </x:row>
    <x:row r="9">
      <x:c r="A9" s="18" t="str">
        <x:v>MAUP / spatial support</x:v>
      </x:c>
      <x:c r="B9" s="18" t="str">
        <x:v>Scale/zoning can change analytical outcomes</x:v>
      </x:c>
      <x:c r="C9" s="18" t="str">
        <x:v>Robustness layer for inferential states</x:v>
      </x:c>
      <x:c r="D9" s="18" t="str">
        <x:v>Constituent tradition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4" hidden="0" customWidth="1"/>
    <x:col min="4" max="4" width="80" hidden="0" customWidth="1"/>
    <x:col min="5" max="5" width="28" hidden="0" customWidth="1"/>
  </x:cols>
  <x:sheetData>
    <x:row r="1">
      <x:c r="A1" s="24" t="str">
        <x:v>Application</x:v>
      </x:c>
      <x:c r="B1" s="24" t="str">
        <x:v>Mechanism</x:v>
      </x:c>
      <x:c r="C1" s="24" t="str">
        <x:v>D/E/M/R</x:v>
      </x:c>
      <x:c r="D1" s="24" t="str">
        <x:v>Evidence basis</x:v>
      </x:c>
      <x:c r="E1" s="24" t="str">
        <x:v>Role</x:v>
      </x:c>
    </x:row>
    <x:row r="2">
      <x:c r="A2" s="18" t="str">
        <x:v>JOAJU MS</x:v>
      </x:c>
      <x:c r="B2" s="18" t="str">
        <x:v>IPG</x:v>
      </x:c>
      <x:c r="C2" s="18" t="str">
        <x:v>D/E/M/R</x:v>
      </x:c>
      <x:c r="D2" s="18" t="str">
        <x:v>Recalculation on master grid and legacy self-test</x:v>
      </x:c>
      <x:c r="E2" s="18" t="str">
        <x:v>Development evidence</x:v>
      </x:c>
    </x:row>
    <x:row r="3">
      <x:c r="A3" s="18" t="str">
        <x:v>JOAJU MS</x:v>
      </x:c>
      <x:c r="B3" s="18" t="str">
        <x:v>PEIC</x:v>
      </x:c>
      <x:c r="C3" s="18" t="str">
        <x:v>D/E/M</x:v>
      </x:c>
      <x:c r="D3" s="18" t="str">
        <x:v>Protocol + executable/materialized product</x:v>
      </x:c>
      <x:c r="E3" s="18" t="str">
        <x:v>Application evidence</x:v>
      </x:c>
    </x:row>
    <x:row r="4">
      <x:c r="A4" s="18" t="str">
        <x:v>JOAJU MS</x:v>
      </x:c>
      <x:c r="B4" s="18" t="str">
        <x:v>ICD</x:v>
      </x:c>
      <x:c r="C4" s="18" t="str">
        <x:v>D/E/M</x:v>
      </x:c>
      <x:c r="D4" s="18" t="str">
        <x:v>Protocol + materialized quality/coverage product</x:v>
      </x:c>
      <x:c r="E4" s="18" t="str">
        <x:v>Application evidence</x:v>
      </x:c>
    </x:row>
    <x:row r="5">
      <x:c r="A5" s="18" t="str">
        <x:v>ITA ARANDU MS</x:v>
      </x:c>
      <x:c r="B5" s="18" t="str">
        <x:v>IOD</x:v>
      </x:c>
      <x:c r="C5" s="18" t="str">
        <x:v>D/E/M</x:v>
      </x:c>
      <x:c r="D5" s="18" t="str">
        <x:v>Protocol/changelog + executable/materialized index</x:v>
      </x:c>
      <x:c r="E5" s="18" t="str">
        <x:v>Application evidence</x:v>
      </x:c>
    </x:row>
    <x:row r="6">
      <x:c r="A6" s="18" t="str">
        <x:v>ITA ARANDU MS</x:v>
      </x:c>
      <x:c r="B6" s="18" t="str">
        <x:v>ICP</x:v>
      </x:c>
      <x:c r="C6" s="18" t="str">
        <x:v>D/E/M</x:v>
      </x:c>
      <x:c r="D6" s="18" t="str">
        <x:v>Protocol/changelog + executable/materialized index</x:v>
      </x:c>
      <x:c r="E6" s="18" t="str">
        <x:v>Application evidence</x:v>
      </x:c>
    </x:row>
    <x:row r="7">
      <x:c r="A7" s="18" t="str">
        <x:v>ITA ARANDU MS</x:v>
      </x:c>
      <x:c r="B7" s="18" t="str">
        <x:v>IGC</x:v>
      </x:c>
      <x:c r="C7" s="18" t="str">
        <x:v>D/E/M</x:v>
      </x:c>
      <x:c r="D7" s="18" t="str">
        <x:v>Protocol/changelog + executable/materialized index</x:v>
      </x:c>
      <x:c r="E7" s="18" t="str">
        <x:v>Application evidence</x:v>
      </x:c>
    </x:row>
    <x:row r="8">
      <x:c r="A8" s="18" t="str">
        <x:v>PAG-ETR MS</x:v>
      </x:c>
      <x:c r="B8" s="18" t="str">
        <x:v>M2 spatial pilot</x:v>
      </x:c>
      <x:c r="C8" s="18" t="str">
        <x:v>D/E/M/R</x:v>
      </x:c>
      <x:c r="D8" s="18" t="str">
        <x:v>Frozen source → executable script → reproduced cell IDs/counts</x:v>
      </x:c>
      <x:c r="E8" s="18" t="str">
        <x:v>Strong reference case</x:v>
      </x:c>
    </x:row>
    <x:row r="9">
      <x:c r="A9" s="18" t="str">
        <x:v>PAG-ETR MS</x:v>
      </x:c>
      <x:c r="B9" s="18" t="str">
        <x:v>M4 spatial pilot</x:v>
      </x:c>
      <x:c r="C9" s="18" t="str">
        <x:v>D/E/M/R</x:v>
      </x:c>
      <x:c r="D9" s="18" t="str">
        <x:v>Frozen source → executable script → reproduced cell IDs/counts</x:v>
      </x:c>
      <x:c r="E9" s="18" t="str">
        <x:v>Strong reference case</x:v>
      </x:c>
    </x:row>
    <x:row r="10">
      <x:c r="A10" s="18" t="str">
        <x:v>PIH-MS</x:v>
      </x:c>
      <x:c r="B10" s="18" t="str">
        <x:v>Evidence E01–E12</x:v>
      </x:c>
      <x:c r="C10" s="18" t="str">
        <x:v>D/E/M</x:v>
      </x:c>
      <x:c r="D10" s="18" t="str">
        <x:v>Study specs + builders + materialized products</x:v>
      </x:c>
      <x:c r="E10" s="18" t="str">
        <x:v>Application evidence</x:v>
      </x:c>
    </x:row>
    <x:row r="11">
      <x:c r="A11" s="18" t="str">
        <x:v>PIH-MS</x:v>
      </x:c>
      <x:c r="B11" s="18" t="str">
        <x:v>Question sufficiency</x:v>
      </x:c>
      <x:c r="C11" s="18" t="str">
        <x:v>D/E/M</x:v>
      </x:c>
      <x:c r="D11" s="18" t="str">
        <x:v>Q01–Q05 contract + materialized well/cell results</x:v>
      </x:c>
      <x:c r="E11" s="18" t="str">
        <x:v>Application evidence</x:v>
      </x:c>
    </x:row>
    <x:row r="12">
      <x:c r="A12" s="18" t="str">
        <x:v>PIH-MS</x:v>
      </x:c>
      <x:c r="B12" s="18" t="str">
        <x:v>MAUP/origin sensitivity</x:v>
      </x:c>
      <x:c r="C12" s="18" t="str">
        <x:v>D/E/M</x:v>
      </x:c>
      <x:c r="D12" s="18" t="str">
        <x:v>Five scales + multiple origins + fixed support</x:v>
      </x:c>
      <x:c r="E12" s="18" t="str">
        <x:v>Robustness evidence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6" hidden="0" customWidth="1"/>
    <x:col min="3" max="3" width="28" hidden="0" customWidth="1"/>
    <x:col min="4" max="4" width="64" hidden="0" customWidth="1"/>
  </x:cols>
  <x:sheetData>
    <x:row r="1">
      <x:c r="A1" s="24" t="str">
        <x:v>Development relation</x:v>
      </x:c>
      <x:c r="B1" s="24" t="str">
        <x:v>What moved/changed</x:v>
      </x:c>
      <x:c r="C1" s="24" t="str">
        <x:v>Evidence status</x:v>
      </x:c>
      <x:c r="D1" s="24" t="str">
        <x:v>Interpretation</x:v>
      </x:c>
    </x:row>
    <x:row r="2">
      <x:c r="A2" s="18" t="str">
        <x:v>JOAJU MS → ITA ARANDU MS</x:v>
      </x:c>
      <x:c r="B2" s="18" t="str">
        <x:v>Territorial/contextual components migrated and adapted</x:v>
      </x:c>
      <x:c r="C2" s="18" t="str">
        <x:v>Demonstrated transfer</x:v>
      </x:c>
      <x:c r="D2" s="18" t="str">
        <x:v>Development provenance, not methodological validation</x:v>
      </x:c>
    </x:row>
    <x:row r="3">
      <x:c r="A3" s="18" t="str">
        <x:v>ITA ARANDU MS → PAG-ETR MS</x:v>
      </x:c>
      <x:c r="B3" s="18" t="str">
        <x:v>PAG extracted as specialized module</x:v>
      </x:c>
      <x:c r="C3" s="18" t="str">
        <x:v>Demonstrated transfer</x:v>
      </x:c>
      <x:c r="D3" s="18" t="str">
        <x:v>Shows specialization of shared methodological substrate</x:v>
      </x:c>
    </x:row>
    <x:row r="4">
      <x:c r="A4" s="18" t="str">
        <x:v>PAG-ETR MS → ITA ARANDU MS</x:v>
      </x:c>
      <x:c r="B4" s="18" t="str">
        <x:v>Specialized PAG components reincorporated</x:v>
      </x:c>
      <x:c r="C4" s="18" t="str">
        <x:v>Demonstrated back-transfer</x:v>
      </x:c>
      <x:c r="D4" s="18" t="str">
        <x:v>Shows iterative feedback</x:v>
      </x:c>
    </x:row>
    <x:row r="5">
      <x:c r="A5" s="18" t="str">
        <x:v>JOAJU MS ↔ ITA ARANDU MS IPG</x:v>
      </x:c>
      <x:c r="B5" s="18" t="str">
        <x:v>Shared mechanism; exact component origin unresolved</x:v>
      </x:c>
      <x:c r="C5" s="18" t="str">
        <x:v>Unresolved direction</x:v>
      </x:c>
      <x:c r="D5" s="18" t="str">
        <x:v>Do not assign origin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0" hidden="0" customWidth="1"/>
    <x:col min="4" max="4" width="14" hidden="0" customWidth="1"/>
    <x:col min="5" max="5" width="86" hidden="0" customWidth="1"/>
  </x:cols>
  <x:sheetData>
    <x:row r="1">
      <x:c r="A1" s="24" t="str">
        <x:v>Object</x:v>
      </x:c>
      <x:c r="B1" s="24" t="str">
        <x:v>Field</x:v>
      </x:c>
      <x:c r="C1" s="24" t="str">
        <x:v>Type</x:v>
      </x:c>
      <x:c r="D1" s="24" t="str">
        <x:v>Status</x:v>
      </x:c>
      <x:c r="E1" s="24" t="str">
        <x:v>Meaning</x:v>
      </x:c>
    </x:row>
    <x:row r="2">
      <x:c r="A2" s="18" t="str">
        <x:v>SpatialUnit</x:v>
      </x:c>
      <x:c r="B2" s="18" t="str">
        <x:v>unit_id</x:v>
      </x:c>
      <x:c r="C2" s="18" t="str">
        <x:v>string</x:v>
      </x:c>
      <x:c r="D2" s="18" t="str">
        <x:v>required</x:v>
      </x:c>
      <x:c r="E2" s="18" t="str">
        <x:v>Stable analytical unit identifier</x:v>
      </x:c>
    </x:row>
    <x:row r="3">
      <x:c r="A3" s="18" t="str">
        <x:v>SpatialUnit</x:v>
      </x:c>
      <x:c r="B3" s="18" t="str">
        <x:v>scale</x:v>
      </x:c>
      <x:c r="C3" s="18" t="str">
        <x:v>string</x:v>
      </x:c>
      <x:c r="D3" s="18" t="str">
        <x:v>required</x:v>
      </x:c>
      <x:c r="E3" s="18" t="str">
        <x:v>Support/scale label</x:v>
      </x:c>
    </x:row>
    <x:row r="4">
      <x:c r="A4" s="18" t="str">
        <x:v>SpatialUnit</x:v>
      </x:c>
      <x:c r="B4" s="18" t="str">
        <x:v>origin_id</x:v>
      </x:c>
      <x:c r="C4" s="18" t="str">
        <x:v>string</x:v>
      </x:c>
      <x:c r="D4" s="18" t="str">
        <x:v>optional</x:v>
      </x:c>
      <x:c r="E4" s="18" t="str">
        <x:v>Partition/zoning scenario</x:v>
      </x:c>
    </x:row>
    <x:row r="5">
      <x:c r="A5" s="18" t="str">
        <x:v>EvidenceRecord</x:v>
      </x:c>
      <x:c r="B5" s="18" t="str">
        <x:v>unit_id</x:v>
      </x:c>
      <x:c r="C5" s="18" t="str">
        <x:v>string</x:v>
      </x:c>
      <x:c r="D5" s="18" t="str">
        <x:v>required</x:v>
      </x:c>
      <x:c r="E5" s="18" t="str">
        <x:v>Spatial unit receiving evidence</x:v>
      </x:c>
    </x:row>
    <x:row r="6">
      <x:c r="A6" s="18" t="str">
        <x:v>EvidenceRecord</x:v>
      </x:c>
      <x:c r="B6" s="18" t="str">
        <x:v>evidence_type</x:v>
      </x:c>
      <x:c r="C6" s="18" t="str">
        <x:v>string</x:v>
      </x:c>
      <x:c r="D6" s="18" t="str">
        <x:v>required</x:v>
      </x:c>
      <x:c r="E6" s="18" t="str">
        <x:v>Domain-defined evidence key</x:v>
      </x:c>
    </x:row>
    <x:row r="7">
      <x:c r="A7" s="18" t="str">
        <x:v>EvidenceRecord</x:v>
      </x:c>
      <x:c r="B7" s="18" t="str">
        <x:v>state</x:v>
      </x:c>
      <x:c r="C7" s="18" t="str">
        <x:v>enum</x:v>
      </x:c>
      <x:c r="D7" s="18" t="str">
        <x:v>required</x:v>
      </x:c>
      <x:c r="E7" s="18" t="str">
        <x:v>SUPPORTED / VERIFIED_NEGATIVE / UNKNOWN / CONFLICT / NOT_APPLICABLE / INVALID</x:v>
      </x:c>
    </x:row>
    <x:row r="8">
      <x:c r="A8" s="18" t="str">
        <x:v>EvidenceRecord</x:v>
      </x:c>
      <x:c r="B8" s="18" t="str">
        <x:v>source_id</x:v>
      </x:c>
      <x:c r="C8" s="18" t="str">
        <x:v>string</x:v>
      </x:c>
      <x:c r="D8" s="18" t="str">
        <x:v>required</x:v>
      </x:c>
      <x:c r="E8" s="18" t="str">
        <x:v>Traceable source</x:v>
      </x:c>
    </x:row>
    <x:row r="9">
      <x:c r="A9" s="18" t="str">
        <x:v>EvidenceRecord</x:v>
      </x:c>
      <x:c r="B9" s="18" t="str">
        <x:v>value</x:v>
      </x:c>
      <x:c r="C9" s="18" t="str">
        <x:v>any</x:v>
      </x:c>
      <x:c r="D9" s="18" t="str">
        <x:v>optional</x:v>
      </x:c>
      <x:c r="E9" s="18" t="str">
        <x:v>Raw/derived value when relevant</x:v>
      </x:c>
    </x:row>
    <x:row r="10">
      <x:c r="A10" s="18" t="str">
        <x:v>RequirementSpec</x:v>
      </x:c>
      <x:c r="B10" s="18" t="str">
        <x:v>requirement_id</x:v>
      </x:c>
      <x:c r="C10" s="18" t="str">
        <x:v>string</x:v>
      </x:c>
      <x:c r="D10" s="18" t="str">
        <x:v>required</x:v>
      </x:c>
      <x:c r="E10" s="18" t="str">
        <x:v>Unique target requirement</x:v>
      </x:c>
    </x:row>
    <x:row r="11">
      <x:c r="A11" s="18" t="str">
        <x:v>RequirementSpec</x:v>
      </x:c>
      <x:c r="B11" s="18" t="str">
        <x:v>evidence_keys</x:v>
      </x:c>
      <x:c r="C11" s="18" t="str">
        <x:v>list[string]</x:v>
      </x:c>
      <x:c r="D11" s="18" t="str">
        <x:v>required</x:v>
      </x:c>
      <x:c r="E11" s="18" t="str">
        <x:v>Evidence types used</x:v>
      </x:c>
    </x:row>
    <x:row r="12">
      <x:c r="A12" s="18" t="str">
        <x:v>RequirementSpec</x:v>
      </x:c>
      <x:c r="B12" s="18" t="str">
        <x:v>operator</x:v>
      </x:c>
      <x:c r="C12" s="18" t="str">
        <x:v>enum</x:v>
      </x:c>
      <x:c r="D12" s="18" t="str">
        <x:v>required</x:v>
      </x:c>
      <x:c r="E12" s="18" t="str">
        <x:v>ANY / ALL / COUNT_AT_LEAST</x:v>
      </x:c>
    </x:row>
    <x:row r="13">
      <x:c r="A13" s="18" t="str">
        <x:v>RequirementSpec</x:v>
      </x:c>
      <x:c r="B13" s="18" t="str">
        <x:v>accepted_states</x:v>
      </x:c>
      <x:c r="C13" s="18" t="str">
        <x:v>list[string]</x:v>
      </x:c>
      <x:c r="D13" s="18" t="str">
        <x:v>required</x:v>
      </x:c>
      <x:c r="E13" s="18" t="str">
        <x:v>States that satisfy requirement</x:v>
      </x:c>
    </x:row>
    <x:row r="14">
      <x:c r="A14" s="18" t="str">
        <x:v>RequirementSpec</x:v>
      </x:c>
      <x:c r="B14" s="18" t="str">
        <x:v>critical</x:v>
      </x:c>
      <x:c r="C14" s="18" t="str">
        <x:v>boolean</x:v>
      </x:c>
      <x:c r="D14" s="18" t="str">
        <x:v>required</x:v>
      </x:c>
      <x:c r="E14" s="18" t="str">
        <x:v>Critical requirements are non-compensatory</x:v>
      </x:c>
    </x:row>
    <x:row r="15">
      <x:c r="A15" s="18" t="str">
        <x:v>RequirementSpec</x:v>
      </x:c>
      <x:c r="B15" s="18" t="str">
        <x:v>action_if_unresolved</x:v>
      </x:c>
      <x:c r="C15" s="18" t="str">
        <x:v>string</x:v>
      </x:c>
      <x:c r="D15" s="18" t="str">
        <x:v>optional</x:v>
      </x:c>
      <x:c r="E15" s="18" t="str">
        <x:v>Evidence/research action</x:v>
      </x:c>
    </x:row>
    <x:row r="16">
      <x:c r="A16" s="18" t="str">
        <x:v>TargetSpec</x:v>
      </x:c>
      <x:c r="B16" s="18" t="str">
        <x:v>target_id</x:v>
      </x:c>
      <x:c r="C16" s="18" t="str">
        <x:v>string</x:v>
      </x:c>
      <x:c r="D16" s="18" t="str">
        <x:v>required</x:v>
      </x:c>
      <x:c r="E16" s="18" t="str">
        <x:v>Scientific target</x:v>
      </x:c>
    </x:row>
    <x:row r="17">
      <x:c r="A17" s="18" t="str">
        <x:v>TargetSpec</x:v>
      </x:c>
      <x:c r="B17" s="18" t="str">
        <x:v>requirements</x:v>
      </x:c>
      <x:c r="C17" s="18" t="str">
        <x:v>list</x:v>
      </x:c>
      <x:c r="D17" s="18" t="str">
        <x:v>required</x:v>
      </x:c>
      <x:c r="E17" s="18" t="str">
        <x:v>Evidence contract</x:v>
      </x:c>
    </x:row>
    <x:row r="18">
      <x:c r="A18" s="18" t="str">
        <x:v>TargetSpec</x:v>
      </x:c>
      <x:c r="B18" s="18" t="str">
        <x:v>claim_boundary</x:v>
      </x:c>
      <x:c r="C18" s="18" t="str">
        <x:v>string</x:v>
      </x:c>
      <x:c r="D18" s="18" t="str">
        <x:v>required</x:v>
      </x:c>
      <x:c r="E18" s="18" t="str">
        <x:v>What result does not imply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24" t="str">
        <x:v>Item</x:v>
      </x:c>
      <x:c r="B1" s="24" t="str">
        <x:v>Rule</x:v>
      </x:c>
    </x:row>
    <x:row r="2">
      <x:c r="A2" s="18" t="str">
        <x:v>Purpose</x:v>
      </x:c>
      <x:c r="B2" s="18" t="str">
        <x:v>Retain provenance of how the methodology was reconstructed from the four projects.</x:v>
      </x:c>
    </x:row>
    <x:row r="3">
      <x:c r="A3" s="18" t="str">
        <x:v>Not the main contribution</x:v>
      </x:c>
      <x:c r="B3" s="18" t="str">
        <x:v>Lineage classes and D/E/M/R are supplementary controls, not the methodology itself.</x:v>
      </x:c>
    </x:row>
    <x:row r="4">
      <x:c r="A4" s="18" t="str">
        <x:v>Generic GIS</x:v>
      </x:c>
      <x:c r="B4" s="18" t="str">
        <x:v>Hexagons, GeoJSON, PWA, joins and web mapping do not count as methodological novelty.</x:v>
      </x:c>
    </x:row>
    <x:row r="5">
      <x:c r="A5" s="18" t="str">
        <x:v>Inheritance</x:v>
      </x:c>
      <x:c r="B5" s="18" t="str">
        <x:v>Directly transferred implementation is not evidence of independent convergence.</x:v>
      </x:c>
    </x:row>
    <x:row r="6">
      <x:c r="A6" s="18" t="str">
        <x:v>Domain adaptation</x:v>
      </x:c>
      <x:c r="B6" s="18" t="str">
        <x:v>Scientific transformations that depend on receiving-domain semantics are retained as development evidence.</x:v>
      </x:c>
    </x:row>
    <x:row r="7">
      <x:c r="A7" s="18" t="str">
        <x:v>Unresolved</x:v>
      </x:c>
      <x:c r="B7" s="18" t="str">
        <x:v>Component origin remains unresolved when repository history cannot support a direction.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>
      <x:c r="A1" s="5" t="str">
        <x:v>Methodology package summary</x:v>
      </x:c>
      <x:c r="B1" s="5"/>
      <x:c r="C1" s="5"/>
      <x:c r="D1" s="5"/>
      <x:c r="E1" s="5"/>
      <x:c r="F1" s="5"/>
    </x:row>
    <x:row r="3">
      <x:c r="A3" s="13" t="str">
        <x:v>Core evidence states</x:v>
      </x:c>
      <x:c r="B3" t="n">
        <x:v>6</x:v>
      </x:c>
    </x:row>
    <x:row r="4">
      <x:c r="A4" s="13" t="str">
        <x:v>Target states</x:v>
      </x:c>
      <x:c r="B4" t="n">
        <x:v>4</x:v>
      </x:c>
    </x:row>
    <x:row r="5">
      <x:c r="A5" s="13" t="str">
        <x:v>Development applications</x:v>
      </x:c>
      <x:c r="B5" t="n">
        <x:v>4</x:v>
      </x:c>
    </x:row>
    <x:row r="6">
      <x:c r="A6" s="13" t="str">
        <x:v>Quantitative application tables in manuscript</x:v>
      </x:c>
      <x:c r="B6" t="n">
        <x:v>3</x:v>
      </x:c>
    </x:row>
    <x:row r="7">
      <x:c r="A7" s="13" t="str">
        <x:v>Reference Python unit tests</x:v>
      </x:c>
      <x:c r="B7" t="n">
        <x:v>12</x:v>
      </x:c>
    </x:row>
    <x:row r="8">
      <x:c r="A8" s="13" t="str">
        <x:v>External validation</x:v>
      </x:c>
      <x:c r="B8" t="str">
        <x:v>Not yet performed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39" hidden="0" customWidth="1"/>
    <x:col min="4" max="4" width="27" hidden="0" customWidth="1"/>
    <x:col min="5" max="5" width="34" hidden="0" customWidth="1"/>
    <x:col min="6" max="6" width="37" hidden="0" customWidth="1"/>
    <x:col min="7" max="7" width="29" hidden="0" customWidth="1"/>
    <x:col min="8" max="8" width="54" hidden="0" customWidth="1"/>
    <x:col min="9" max="9" width="31" hidden="0" customWidth="1"/>
  </x:cols>
  <x:sheetData>
    <x:row r="1" ht="28" customHeight="1">
      <x:c r="A1" s="35" t="str">
        <x:v>T-A — Crosswalk between application-native vocabularies and the generic evidence-sufficiency model</x:v>
      </x:c>
      <x:c r="B1" s="35"/>
      <x:c r="C1" s="35"/>
      <x:c r="D1" s="35"/>
      <x:c r="E1" s="35"/>
      <x:c r="F1" s="35"/>
      <x:c r="G1" s="35"/>
      <x:c r="H1" s="35"/>
      <x:c r="I1" s="35"/>
    </x:row>
    <x:row r="2" ht="44" customHeight="1">
      <x:c r="A2" s="39" t="str">
        <x:v>Important: mappings are only asserted where the V2 manuscript and supplementary workbook support them. A blank/conditional mapping is an identified specification gap, not an inferred equivalence.</x:v>
      </x:c>
      <x:c r="B2" s="39"/>
      <x:c r="C2" s="39"/>
      <x:c r="D2" s="39"/>
      <x:c r="E2" s="39"/>
      <x:c r="F2" s="39"/>
      <x:c r="G2" s="39"/>
      <x:c r="H2" s="39"/>
      <x:c r="I2" s="39"/>
    </x:row>
    <x:row r="4" ht="36" customHeight="1">
      <x:c r="A4" s="44" t="str">
        <x:v>Application</x:v>
      </x:c>
      <x:c r="B4" s="44" t="str">
        <x:v>Native object / state</x:v>
      </x:c>
      <x:c r="C4" s="44" t="str">
        <x:v>Native meaning documented in V2</x:v>
      </x:c>
      <x:c r="D4" s="44" t="str">
        <x:v>Generic evidence state</x:v>
      </x:c>
      <x:c r="E4" s="44" t="str">
        <x:v>Requirement result qᵢ</x:v>
      </x:c>
      <x:c r="F4" s="44" t="str">
        <x:v>Target state I(x,s,T)</x:v>
      </x:c>
      <x:c r="G4" s="44" t="str">
        <x:v>Mapping status</x:v>
      </x:c>
      <x:c r="H4" s="44" t="str">
        <x:v>Rationale / unresolved point</x:v>
      </x:c>
      <x:c r="I4" s="44" t="str">
        <x:v>Source basis</x:v>
      </x:c>
    </x:row>
    <x:row r="5">
      <x:c r="A5" s="45" t="str">
        <x:v>JOAJU MS</x:v>
      </x:c>
      <x:c r="B5" s="45" t="str">
        <x:v>IPG documented-result cell</x:v>
      </x:c>
      <x:c r="C5" s="45" t="str">
        <x:v>Cell contains documented evidence for the derived territorial result.</x:v>
      </x:c>
      <x:c r="D5" s="45" t="str">
        <x:v>SUPPORTED</x:v>
      </x:c>
      <x:c r="E5" s="45" t="str">
        <x:v>PASS, if the requirement is defined as documented-evidence presence</x:v>
      </x:c>
      <x:c r="F5" s="45" t="str">
        <x:v>SUPPORTABLE only for a narrowly defined presence/adequacy target and only if all critical requirements pass</x:v>
      </x:c>
      <x:c r="G5" s="45" t="str">
        <x:v>CONDITIONAL</x:v>
      </x:c>
      <x:c r="H5" s="45" t="str">
        <x:v>The native implementation reports evidence presence/null, not the full target-state logic. Mapping to SUPPORTABLE is therefore retrospective and target-dependent.</x:v>
      </x:c>
      <x:c r="I5" s="45" t="str">
        <x:v>Manuscript §3.1; Supplement 04_APPLICATIONS</x:v>
      </x:c>
    </x:row>
    <x:row r="6">
      <x:c r="A6" s="45" t="str">
        <x:v>JOAJU MS</x:v>
      </x:c>
      <x:c r="B6" s="45" t="str">
        <x:v>IPG null cell</x:v>
      </x:c>
      <x:c r="C6" s="45" t="str">
        <x:v>No documented evidence for the derived result; null is preserved rather than converted to zero.</x:v>
      </x:c>
      <x:c r="D6" s="45" t="str">
        <x:v>UNKNOWN</x:v>
      </x:c>
      <x:c r="E6" s="45" t="str">
        <x:v>UNKNOWN for a critical evidence-presence requirement</x:v>
      </x:c>
      <x:c r="F6" s="45" t="str">
        <x:v>NON_EVALUABLE, if that requirement is critical</x:v>
      </x:c>
      <x:c r="G6" s="45" t="str">
        <x:v>STRONG</x:v>
      </x:c>
      <x:c r="H6" s="45" t="str">
        <x:v>This is the clearest JOAJU correspondence: missing evidence remains unresolved rather than false/zero.</x:v>
      </x:c>
      <x:c r="I6" s="45" t="str">
        <x:v>Manuscript §3.1; Supplement 04_APPLICATIONS</x:v>
      </x:c>
    </x:row>
    <x:row r="7">
      <x:c r="A7" s="45" t="str">
        <x:v>JOAJU MS</x:v>
      </x:c>
      <x:c r="B7" s="45" t="str">
        <x:v>Unassociated record (2 of 124)</x:v>
      </x:c>
      <x:c r="C7" s="45" t="str">
        <x:v>Record does not intersect the analytical grid and is retained as unassociated rather than moved to the nearest cell.</x:v>
      </x:c>
      <x:c r="D7" s="45" t="str"/>
      <x:c r="E7" s="45" t="str"/>
      <x:c r="F7" s="45" t="str"/>
      <x:c r="G7" s="45" t="str">
        <x:v>NO DIRECT EQUIVALENT</x:v>
      </x:c>
      <x:c r="H7" s="45" t="str">
        <x:v>This is a spatial-assignment status, not obviously INVALID evidence. Treating it as INVALID would conflate valid evidence with failure of assignment to support x. The generic schema may need an assignment/out-of-support status.</x:v>
      </x:c>
      <x:c r="I7" s="45" t="str">
        <x:v>Manuscript §3.1</x:v>
      </x:c>
    </x:row>
    <x:row r="8">
      <x:c r="A8" s="45" t="str">
        <x:v>JOAJU MS</x:v>
      </x:c>
      <x:c r="B8" s="45" t="str">
        <x:v>ICD partial positional adequacy</x:v>
      </x:c>
      <x:c r="C8" s="45" t="str">
        <x:v>Area-weighted municipal context has only partial positional adequacy because weighting does not create an exact location.</x:v>
      </x:c>
      <x:c r="D8" s="45" t="str"/>
      <x:c r="E8" s="45" t="str">
        <x:v>Depends on the target-specific adequacy threshold</x:v>
      </x:c>
      <x:c r="F8" s="45" t="str">
        <x:v>Depends on R(T)</x:v>
      </x:c>
      <x:c r="G8" s="45" t="str">
        <x:v>INCOMPLETE</x:v>
      </x:c>
      <x:c r="H8" s="45" t="str">
        <x:v>The six generic evidence states do not include graded positional adequacy. A contract rule or evidence qualifier is required before this can be mapped without information loss.</x:v>
      </x:c>
      <x:c r="I8" s="45" t="str">
        <x:v>Manuscript §3.1; Supplement 04_APPLICATIONS</x:v>
      </x:c>
    </x:row>
    <x:row r="9">
      <x:c r="A9" s="45" t="str">
        <x:v>ITA ARANDU MS</x:v>
      </x:c>
      <x:c r="B9" s="45" t="str">
        <x:v>IOD output</x:v>
      </x:c>
      <x:c r="C9" s="45" t="str">
        <x:v>Derived index combining normalized observational density, spatial occupation and distributional balance.</x:v>
      </x:c>
      <x:c r="D9" s="45" t="str"/>
      <x:c r="E9" s="45" t="str"/>
      <x:c r="F9" s="45" t="str"/>
      <x:c r="G9" s="45" t="str">
        <x:v>NO ONE-TO-ONE MAPPING</x:v>
      </x:c>
      <x:c r="H9" s="45" t="str">
        <x:v>IOD is a derived quantitative index, not a native epistemic state. Its component observations can be typed, but the published V2 does not specify thresholds that translate the index itself into PASS/FAIL/UNKNOWN.</x:v>
      </x:c>
      <x:c r="I9" s="45" t="str">
        <x:v>Manuscript §3.2; Supplement 04_APPLICATIONS</x:v>
      </x:c>
    </x:row>
    <x:row r="10">
      <x:c r="A10" s="45" t="str">
        <x:v>ITA ARANDU MS</x:v>
      </x:c>
      <x:c r="B10" s="45" t="str">
        <x:v>ICP output / representativity control</x:v>
      </x:c>
      <x:c r="C10" s="45" t="str">
        <x:v>Petrographic index with controls against repeated thin sections from the same geological context; separates documentary completeness from laboratory quality.</x:v>
      </x:c>
      <x:c r="D10" s="45" t="str"/>
      <x:c r="E10" s="45" t="str">
        <x:v>Depends on the explicit representativity and completeness requirements</x:v>
      </x:c>
      <x:c r="F10" s="45" t="str">
        <x:v>Depends on R(T)</x:v>
      </x:c>
      <x:c r="G10" s="45" t="str">
        <x:v>INCOMPLETE</x:v>
      </x:c>
      <x:c r="H10" s="45" t="str">
        <x:v>The methodology can represent the control as requirements, but V2 does not yet provide the contract needed to reproduce the native ICP result in the generic engine.</x:v>
      </x:c>
      <x:c r="I10" s="45" t="str">
        <x:v>Manuscript §3.2; Supplement 04_APPLICATIONS</x:v>
      </x:c>
    </x:row>
    <x:row r="11">
      <x:c r="A11" s="45" t="str">
        <x:v>ITA ARANDU MS</x:v>
      </x:c>
      <x:c r="B11" s="45" t="str">
        <x:v>IGC output</x:v>
      </x:c>
      <x:c r="C11" s="45" t="str">
        <x:v>Geochronological index using analogous evidence-handling principles.</x:v>
      </x:c>
      <x:c r="D11" s="45" t="str"/>
      <x:c r="E11" s="45" t="str"/>
      <x:c r="F11" s="45" t="str"/>
      <x:c r="G11" s="45" t="str">
        <x:v>NO ONE-TO-ONE MAPPING</x:v>
      </x:c>
      <x:c r="H11" s="45" t="str">
        <x:v>As with IOD/ICP, the output is an index rather than one of the six evidence states. The native contract must be reconstructed from the implementation before a target-state mapping can be claimed.</x:v>
      </x:c>
      <x:c r="I11" s="45" t="str">
        <x:v>Manuscript §3.2; Supplement 04_APPLICATIONS</x:v>
      </x:c>
    </x:row>
    <x:row r="12">
      <x:c r="A12" s="45" t="str">
        <x:v>PAG-ETR MS</x:v>
      </x:c>
      <x:c r="B12" s="45" t="str">
        <x:v>Demonstrated support</x:v>
      </x:c>
      <x:c r="C12" s="45" t="str">
        <x:v>Evidence supports the represented geological condition.</x:v>
      </x:c>
      <x:c r="D12" s="45" t="str">
        <x:v>SUPPORTED</x:v>
      </x:c>
      <x:c r="E12" s="45" t="str">
        <x:v>PASS when accepted by rᵢ</x:v>
      </x:c>
      <x:c r="F12" s="45" t="str">
        <x:v>SUPPORTABLE only if all applicable critical requirements pass</x:v>
      </x:c>
      <x:c r="G12" s="45" t="str">
        <x:v>STRONG</x:v>
      </x:c>
      <x:c r="H12" s="45" t="str">
        <x:v>Direct semantic correspondence with the generic evidence vocabulary.</x:v>
      </x:c>
      <x:c r="I12" s="45" t="str">
        <x:v>Manuscript §3.3; Table 2</x:v>
      </x:c>
    </x:row>
    <x:row r="13">
      <x:c r="A13" s="45" t="str">
        <x:v>PAG-ETR MS</x:v>
      </x:c>
      <x:c r="B13" s="45" t="str">
        <x:v>Verified absence</x:v>
      </x:c>
      <x:c r="C13" s="45" t="str">
        <x:v>Adequate evidence supports failure/absence of the represented condition.</x:v>
      </x:c>
      <x:c r="D13" s="45" t="str">
        <x:v>VERIFIED_NEGATIVE</x:v>
      </x:c>
      <x:c r="E13" s="45" t="str">
        <x:v>FAIL for a critical requirement</x:v>
      </x:c>
      <x:c r="F13" s="45" t="str">
        <x:v>REJECTED_BY_EVIDENCE</x:v>
      </x:c>
      <x:c r="G13" s="45" t="str">
        <x:v>STRONG</x:v>
      </x:c>
      <x:c r="H13" s="45" t="str">
        <x:v>This is the fatal-flaw branch explicitly described in the generic conjunctive logic.</x:v>
      </x:c>
      <x:c r="I13" s="45" t="str">
        <x:v>Manuscript §§2.3–2.5, 3.3</x:v>
      </x:c>
    </x:row>
    <x:row r="14">
      <x:c r="A14" s="45" t="str">
        <x:v>PAG-ETR MS</x:v>
      </x:c>
      <x:c r="B14" s="45" t="str">
        <x:v>Unknown / insufficient evidence</x:v>
      </x:c>
      <x:c r="C14" s="45" t="str">
        <x:v>Required information is absent or insufficient; reasons such as lack of data, inadequate scale or missing source description are preserved.</x:v>
      </x:c>
      <x:c r="D14" s="45" t="str">
        <x:v>UNKNOWN</x:v>
      </x:c>
      <x:c r="E14" s="45" t="str">
        <x:v>UNKNOWN</x:v>
      </x:c>
      <x:c r="F14" s="45" t="str">
        <x:v>NON_EVALUABLE when critical and no critical FAIL exists</x:v>
      </x:c>
      <x:c r="G14" s="45" t="str">
        <x:v>STRONG</x:v>
      </x:c>
      <x:c r="H14" s="45" t="str">
        <x:v>Direct correspondence; the native model explicitly avoids converting unknown into a neutral probability.</x:v>
      </x:c>
      <x:c r="I14" s="45" t="str">
        <x:v>Manuscript §§2.3–2.5, 3.3</x:v>
      </x:c>
    </x:row>
    <x:row r="15">
      <x:c r="A15" s="45" t="str">
        <x:v>PAG-ETR MS</x:v>
      </x:c>
      <x:c r="B15" s="45" t="str">
        <x:v>Conflict</x:v>
      </x:c>
      <x:c r="C15" s="45" t="str">
        <x:v>Adequate evidence remains contradictory.</x:v>
      </x:c>
      <x:c r="D15" s="45" t="str">
        <x:v>CONFLICT</x:v>
      </x:c>
      <x:c r="E15" s="45" t="str">
        <x:v>CONFLICT</x:v>
      </x:c>
      <x:c r="F15" s="45" t="str">
        <x:v>NON_EVALUABLE when critical and no critical FAIL exists</x:v>
      </x:c>
      <x:c r="G15" s="45" t="str">
        <x:v>STRONG</x:v>
      </x:c>
      <x:c r="H15" s="45" t="str">
        <x:v>Direct correspondence with the generic vocabulary.</x:v>
      </x:c>
      <x:c r="I15" s="45" t="str">
        <x:v>Manuscript §§2.3–2.5, 3.3</x:v>
      </x:c>
    </x:row>
    <x:row r="16">
      <x:c r="A16" s="45" t="str">
        <x:v>PAG-ETR MS</x:v>
      </x:c>
      <x:c r="B16" s="45" t="str">
        <x:v>Non-applicability</x:v>
      </x:c>
      <x:c r="C16" s="45" t="str">
        <x:v>Evidence type or requirement does not apply in context.</x:v>
      </x:c>
      <x:c r="D16" s="45" t="str">
        <x:v>NOT_APPLICABLE</x:v>
      </x:c>
      <x:c r="E16" s="45" t="str">
        <x:v>NOT_APPLICABLE</x:v>
      </x:c>
      <x:c r="F16" s="45" t="str">
        <x:v>NOT_APPLICABLE only if all critical requirements are not applicable; otherwise contract-dependent</x:v>
      </x:c>
      <x:c r="G16" s="45" t="str">
        <x:v>STRONG / CONDITIONAL AT TARGET LEVEL</x:v>
      </x:c>
      <x:c r="H16" s="45" t="str">
        <x:v>Evidence- and requirement-level mapping is direct; target-level mapping depends on the complete critical contract.</x:v>
      </x:c>
      <x:c r="I16" s="45" t="str">
        <x:v>Manuscript §§2.3–2.5, 3.3</x:v>
      </x:c>
    </x:row>
    <x:row r="17">
      <x:c r="A17" s="45" t="str">
        <x:v>PAG-ETR MS</x:v>
      </x:c>
      <x:c r="B17" s="45" t="str">
        <x:v>Open / evaluable M2 or M4 pilot cell</x:v>
      </x:c>
      <x:c r="C17" s="45" t="str">
        <x:v>Cell remains open/evaluable under the reproduced model gate; this is explicitly not mineral prospectivity.</x:v>
      </x:c>
      <x:c r="D17" s="45" t="str"/>
      <x:c r="E17" s="45" t="str">
        <x:v>All relevant critical gates appear to have been passed, but the exact re-expression is not shown in V2</x:v>
      </x:c>
      <x:c r="F17" s="45" t="str">
        <x:v>SUPPORTABLE is the proposed generic correspondence</x:v>
      </x:c>
      <x:c r="G17" s="45" t="str">
        <x:v>PROVISIONAL — MUST BE TESTED IN T-B</x:v>
      </x:c>
      <x:c r="H17" s="45" t="str">
        <x:v>This correspondence is central but must be demonstrated by running the generic engine against the frozen M2/M4 contracts and reproducing the 49/37/24 open-cell outputs.</x:v>
      </x:c>
      <x:c r="I17" s="45" t="str">
        <x:v>Manuscript §3.3; Supplement 06_IMPLEMENTATION_EVIDENCE</x:v>
      </x:c>
    </x:row>
    <x:row r="18">
      <x:c r="A18" s="45" t="str">
        <x:v>PIH-MS</x:v>
      </x:c>
      <x:c r="B18" s="45" t="str">
        <x:v>Direct evidence</x:v>
      </x:c>
      <x:c r="C18" s="45" t="str">
        <x:v>Question-relevant direct evidence exists. This indicator overlaps with Partial/Review/Unknown and is not itself a complete contract state.</x:v>
      </x:c>
      <x:c r="D18" s="45" t="str">
        <x:v>SUPPORTED at the evidence-record level</x:v>
      </x:c>
      <x:c r="E18" s="45" t="str">
        <x:v>May satisfy one requirement; does not imply the full contract passes</x:v>
      </x:c>
      <x:c r="F18" s="45" t="str">
        <x:v>No direct target-state mapping</x:v>
      </x:c>
      <x:c r="G18" s="45" t="str">
        <x:v>STRONG AT EVIDENCE LEVEL</x:v>
      </x:c>
      <x:c r="H18" s="45" t="str">
        <x:v>The V2 numbers show Direct evidence is overlapping rather than mutually exclusive. It cannot be mapped directly to SUPPORTABLE.</x:v>
      </x:c>
      <x:c r="I18" s="45" t="str">
        <x:v>Manuscript §3.4, Table 6</x:v>
      </x:c>
    </x:row>
    <x:row r="19">
      <x:c r="A19" s="45" t="str">
        <x:v>PIH-MS</x:v>
      </x:c>
      <x:c r="B19" s="45" t="str">
        <x:v>Partial</x:v>
      </x:c>
      <x:c r="C19" s="45" t="str">
        <x:v>Native documentary/evidence class; together with Review and Unknown partitions the 3,877 wells for each question.</x:v>
      </x:c>
      <x:c r="D19" s="45" t="str"/>
      <x:c r="E19" s="45" t="str">
        <x:v>Likely unresolved/partially satisfied, but exact rule is not specified in V2</x:v>
      </x:c>
      <x:c r="F19" s="45" t="str">
        <x:v>Cannot be assigned without the Q01–Q05 contract</x:v>
      </x:c>
      <x:c r="G19" s="45" t="str">
        <x:v>INCOMPLETE</x:v>
      </x:c>
      <x:c r="H19" s="45" t="str">
        <x:v>The label is not semantically equivalent to a generic state. The requirement-level rule must be recovered from the PIH specification.</x:v>
      </x:c>
      <x:c r="I19" s="45" t="str">
        <x:v>Manuscript §3.4, Table 6; revision numerical check</x:v>
      </x:c>
    </x:row>
    <x:row r="20">
      <x:c r="A20" s="45" t="str">
        <x:v>PIH-MS</x:v>
      </x:c>
      <x:c r="B20" s="45" t="str">
        <x:v>Review</x:v>
      </x:c>
      <x:c r="C20" s="45" t="str">
        <x:v>Native documentary/evidence class requiring review; part of the mutually exclusive 3,877-well partition with Partial and Unknown.</x:v>
      </x:c>
      <x:c r="D20" s="45" t="str"/>
      <x:c r="E20" s="45" t="str">
        <x:v>Unresolved until the native review rule is recovered</x:v>
      </x:c>
      <x:c r="F20" s="45" t="str">
        <x:v>Cannot be assigned without the Q01–Q05 contract</x:v>
      </x:c>
      <x:c r="G20" s="45" t="str">
        <x:v>INCOMPLETE</x:v>
      </x:c>
      <x:c r="H20" s="45" t="str">
        <x:v>Do not equate REVIEW automatically with CONFLICT or INVALID; V2 does not support either equivalence.</x:v>
      </x:c>
      <x:c r="I20" s="45" t="str">
        <x:v>Manuscript §3.4, Table 6; revision numerical check</x:v>
      </x:c>
    </x:row>
    <x:row r="21">
      <x:c r="A21" s="45" t="str">
        <x:v>PIH-MS</x:v>
      </x:c>
      <x:c r="B21" s="45" t="str">
        <x:v>Unknown</x:v>
      </x:c>
      <x:c r="C21" s="45" t="str">
        <x:v>No sufficient audited well/evidence to classify the well/question or cell/question pair.</x:v>
      </x:c>
      <x:c r="D21" s="45" t="str">
        <x:v>UNKNOWN</x:v>
      </x:c>
      <x:c r="E21" s="45" t="str">
        <x:v>UNKNOWN for the missing critical requirement(s)</x:v>
      </x:c>
      <x:c r="F21" s="45" t="str">
        <x:v>NON_EVALUABLE</x:v>
      </x:c>
      <x:c r="G21" s="45" t="str">
        <x:v>STRONG</x:v>
      </x:c>
      <x:c r="H21" s="45" t="str">
        <x:v>This corresponds to unresolved critical evidence rather than groundwater absence.</x:v>
      </x:c>
      <x:c r="I21" s="45" t="str">
        <x:v>Manuscript §3.4, Tables 6–7</x:v>
      </x:c>
    </x:row>
    <x:row r="22">
      <x:c r="A22" s="45" t="str">
        <x:v>PIH-MS</x:v>
      </x:c>
      <x:c r="B22" s="45" t="str">
        <x:v>P1</x:v>
      </x:c>
      <x:c r="C22" s="45" t="str">
        <x:v>Wells present but no direct evidence for the hydrogeological question.</x:v>
      </x:c>
      <x:c r="D22" s="45" t="str">
        <x:v>At least one required evidence item is UNKNOWN</x:v>
      </x:c>
      <x:c r="E22" s="45" t="str">
        <x:v>UNKNOWN on the direct-evidence requirement</x:v>
      </x:c>
      <x:c r="F22" s="45" t="str">
        <x:v>NON_EVALUABLE</x:v>
      </x:c>
      <x:c r="G22" s="45" t="str">
        <x:v>STRONG AT TARGET LEVEL</x:v>
      </x:c>
      <x:c r="H22" s="45" t="str">
        <x:v>The native class describes a specific bottleneck subtype inside NON_EVALUABLE; it should be preserved in B(x,s,T), not promoted to a fifth generic target state.</x:v>
      </x:c>
      <x:c r="I22" s="45" t="str">
        <x:v>Manuscript §3.4, Table 7</x:v>
      </x:c>
    </x:row>
    <x:row r="23">
      <x:c r="A23" s="45" t="str">
        <x:v>PIH-MS</x:v>
      </x:c>
      <x:c r="B23" s="45" t="str">
        <x:v>P2</x:v>
      </x:c>
      <x:c r="C23" s="45" t="str">
        <x:v>Direct evidence present but the minimum contextual contract is not met.</x:v>
      </x:c>
      <x:c r="D23" s="45" t="str">
        <x:v>SUPPORTED exists for at least one item; other required state(s) unresolved</x:v>
      </x:c>
      <x:c r="E23" s="45" t="str">
        <x:v>At least one requirement PASS; at least one critical requirement unresolved</x:v>
      </x:c>
      <x:c r="F23" s="45" t="str">
        <x:v>NON_EVALUABLE</x:v>
      </x:c>
      <x:c r="G23" s="45" t="str">
        <x:v>STRONG AT TARGET LEVEL / BOTTLENECK DETAILS PENDING</x:v>
      </x:c>
      <x:c r="H23" s="45" t="str">
        <x:v>P2 is best treated as a native bottleneck subtype. V2 does not identify whether the blocking requirement is UNKNOWN, INVALID or another unresolved state.</x:v>
      </x:c>
      <x:c r="I23" s="45" t="str">
        <x:v>Manuscript §3.4, Table 7</x:v>
      </x:c>
    </x:row>
    <x:row r="24">
      <x:c r="A24" s="45" t="str">
        <x:v>PIH-MS</x:v>
      </x:c>
      <x:c r="B24" s="45" t="str">
        <x:v>P3</x:v>
      </x:c>
      <x:c r="C24" s="45" t="str">
        <x:v>At least one local gate passed but the complete documentary minimum remains blocked.</x:v>
      </x:c>
      <x:c r="D24" s="45" t="str">
        <x:v>Mixed SUPPORTED plus unresolved critical evidence</x:v>
      </x:c>
      <x:c r="E24" s="45" t="str">
        <x:v>One or more PASS plus at least one unresolved critical requirement</x:v>
      </x:c>
      <x:c r="F24" s="45" t="str">
        <x:v>NON_EVALUABLE</x:v>
      </x:c>
      <x:c r="G24" s="45" t="str">
        <x:v>STRONG AT TARGET LEVEL / BOTTLENECK DETAILS PENDING</x:v>
      </x:c>
      <x:c r="H24" s="45" t="str">
        <x:v>P3 is another native bottleneck subtype within NON_EVALUABLE. The exact B(x,s,T) composition must be extracted in T-C.</x:v>
      </x:c>
      <x:c r="I24" s="45" t="str">
        <x:v>Manuscript §3.4, Table 7</x:v>
      </x:c>
    </x:row>
    <x:row r="25">
      <x:c r="A25" s="45" t="str">
        <x:v>PIH-MS</x:v>
      </x:c>
      <x:c r="B25" s="45" t="str">
        <x:v>Complete minimum documentary contract satisfied</x:v>
      </x:c>
      <x:c r="C25" s="45" t="str">
        <x:v>No observed case in the audited V2 dataset for any of Q01–Q05.</x:v>
      </x:c>
      <x:c r="D25" s="45" t="str">
        <x:v>All required evidence would have accepted states</x:v>
      </x:c>
      <x:c r="E25" s="45" t="str">
        <x:v>PASS for all applicable critical requirements</x:v>
      </x:c>
      <x:c r="F25" s="45" t="str">
        <x:v>SUPPORTABLE</x:v>
      </x:c>
      <x:c r="G25" s="45" t="str">
        <x:v>THEORETICAL BRANCH; ZERO OBSERVED</x:v>
      </x:c>
      <x:c r="H25" s="45" t="str">
        <x:v>Necessary to show that SUPPORTABLE exists in the generic logic but is not exercised by the real PIH cut reported in V2.</x:v>
      </x:c>
      <x:c r="I25" s="45" t="str">
        <x:v>Manuscript §3.4; §2.5</x:v>
      </x:c>
    </x:row>
    <x:row r="28">
      <x:c r="A28" s="39" t="str">
        <x:v>Interpretation of mapping status — STRONG: directly supported by V2 semantics; CONDITIONAL/PROVISIONAL: plausible but target- or contract-dependent and must be tested; INCOMPLETE/NO DIRECT EQUIVALENT: current V2 sources do not justify a one-to-one mapping.</x:v>
      </x:c>
      <x:c r="B28" s="39"/>
      <x:c r="C28" s="39"/>
      <x:c r="D28" s="39"/>
      <x:c r="E28" s="39"/>
      <x:c r="F28" s="39"/>
      <x:c r="G28" s="39"/>
      <x:c r="H28" s="39"/>
      <x:c r="I28" s="39"/>
    </x:row>
  </x:sheetData>
  <x:mergeCells>
    <x:mergeCell ref="A1:I1"/>
    <x:mergeCell ref="A2:I2"/>
    <x:mergeCell ref="A28:I28"/>
  </x:mergeCells>
  <x:conditionalFormatting sqref="G5:G25">
    <x:cfRule type="expression" dxfId="0" priority="1">
      <x:formula>ISNUMBER(SEARCH("STRONG",G5))</x:formula>
    </x:cfRule>
    <x:cfRule type="expression" dxfId="1" priority="2">
      <x:formula>OR(ISNUMBER(SEARCH("CONDITIONAL",G5)),ISNUMBER(SEARCH("PROVISIONAL",G5)),ISNUMBER(SEARCH("THEORETICAL",G5)))</x:formula>
    </x:cfRule>
    <x:cfRule type="expression" dxfId="2" priority="3">
      <x:formula>OR(ISNUMBER(SEARCH("INCOMPLETE",G5)),ISNUMBER(SEARCH("NO DIRECT",G5)))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bce1b84d9444e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8" hidden="0" customWidth="1"/>
    <x:col min="3" max="3" width="27" hidden="0" customWidth="1"/>
    <x:col min="4" max="4" width="28" hidden="0" customWidth="1"/>
    <x:col min="5" max="5" width="38" hidden="0" customWidth="1"/>
    <x:col min="6" max="6" width="42" hidden="0" customWidth="1"/>
    <x:col min="7" max="7" width="42" hidden="0" customWidth="1"/>
    <x:col min="8" max="8" width="42" hidden="0" customWidth="1"/>
    <x:col min="9" max="9" width="22" hidden="0" customWidth="1"/>
    <x:col min="10" max="10" width="48" hidden="0" customWidth="1"/>
    <x:col min="11" max="11" width="48" hidden="0" customWidth="1"/>
  </x:cols>
  <x:sheetData>
    <x:row r="1" ht="30" customHeight="1">
      <x:c r="A1" s="52" t="str">
        <x:v>Common methodological core — compensatory aggregation and non-compensatory gates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48" customHeight="1">
      <x:c r="A2" s="56" t="str">
        <x:v>Audit principle: the common model does not require every application to use both regimes. It provides a contract architecture that permits aggregation only where scientifically admissible and preserves non-compensatory gates for critical requirements.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</x:row>
    <x:row r="3" ht="34" customHeight="1">
      <x:c r="A3" s="56" t="str">
        <x:v>Status codes: D = directly documented in the audited materials; P = partial/implicit or requires implementation verification; — = not demonstrated in the audited branch. No absent mechanism is inferred from silence.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5" ht="38" customHeight="1">
      <x:c r="A5" s="61" t="str">
        <x:v>Architectural layer</x:v>
      </x:c>
      <x:c r="B5" s="61" t="str">
        <x:v>Formal role</x:v>
      </x:c>
      <x:c r="C5" s="61" t="str">
        <x:v>Regime</x:v>
      </x:c>
      <x:c r="D5" s="61" t="str">
        <x:v>Common-core status</x:v>
      </x:c>
      <x:c r="E5" s="61" t="str">
        <x:v>JOAJU MS</x:v>
      </x:c>
      <x:c r="F5" s="61" t="str">
        <x:v>ITA ARANDU MS</x:v>
      </x:c>
      <x:c r="G5" s="61" t="str">
        <x:v>PAG-ETR MS</x:v>
      </x:c>
      <x:c r="H5" s="61" t="str">
        <x:v>PIH-MS</x:v>
      </x:c>
      <x:c r="I5" s="61" t="str">
        <x:v>Evidence status</x:v>
      </x:c>
      <x:c r="J5" s="61" t="str">
        <x:v>What the audit supports</x:v>
      </x:c>
      <x:c r="K5" s="61" t="str">
        <x:v>What must NOT be claimed yet</x:v>
      </x:c>
    </x:row>
    <x:row r="6">
      <x:c r="A6" s="45" t="str">
        <x:v>Spatial support and assignment</x:v>
      </x:c>
      <x:c r="B6" s="45" t="str">
        <x:v>x, s; association of evidence with analytical unit</x:v>
      </x:c>
      <x:c r="C6" s="45" t="str">
        <x:v>Transversal</x:v>
      </x:c>
      <x:c r="D6" s="45" t="str">
        <x:v>CORE</x:v>
      </x:c>
      <x:c r="E6" s="45" t="str">
        <x:v>D — grid association; null cells; positional adequacy</x:v>
      </x:c>
      <x:c r="F6" s="45" t="str">
        <x:v>D — independent 250/500/1000 km² calculations for several indices</x:v>
      </x:c>
      <x:c r="G6" s="45" t="str">
        <x:v>D — reproduced 250/500/1000 km² pilot</x:v>
      </x:c>
      <x:c r="H6" s="45" t="str">
        <x:v>D — five supports and multiple origins</x:v>
      </x:c>
      <x:c r="I6" s="45" t="str">
        <x:v>D</x:v>
      </x:c>
      <x:c r="J6" s="45" t="str">
        <x:v>All four systems make spatial support operational; support can alter apparent evidential sufficiency.</x:v>
      </x:c>
      <x:c r="K6" s="45" t="str">
        <x:v>Do not treat a cell as a homogeneous representation of the phenomenon.</x:v>
      </x:c>
    </x:row>
    <x:row r="7">
      <x:c r="A7" s="45" t="str">
        <x:v>Evidence-state preservation</x:v>
      </x:c>
      <x:c r="B7" s="45" t="str">
        <x:v>E(x,s) retains source and semantic/evidential status</x:v>
      </x:c>
      <x:c r="C7" s="45" t="str">
        <x:v>Transversal</x:v>
      </x:c>
      <x:c r="D7" s="45" t="str">
        <x:v>CORE</x:v>
      </x:c>
      <x:c r="E7" s="45" t="str">
        <x:v>D — null is preserved; unassociated records are not forced into nearest cell</x:v>
      </x:c>
      <x:c r="F7" s="45" t="str">
        <x:v>P — evidence types and quality/representativity distinctions are explicit, but the generic six-state vocabulary is not native</x:v>
      </x:c>
      <x:c r="G7" s="45" t="str">
        <x:v>D — support, verified absence, unknown/insufficient, conflict, non-applicability</x:v>
      </x:c>
      <x:c r="H7" s="45" t="str">
        <x:v>D — question-specific evidence classes and UNKNOWN are retained</x:v>
      </x:c>
      <x:c r="I7" s="45" t="str">
        <x:v>D/P by application</x:v>
      </x:c>
      <x:c r="J7" s="45" t="str">
        <x:v>The shared logic avoids collapsing missing, contradictory or limited evidence into an undifferentiated numeric value.</x:v>
      </x:c>
      <x:c r="K7" s="45" t="str">
        <x:v>Do not claim identical native taxonomies across applications.</x:v>
      </x:c>
    </x:row>
    <x:row r="8">
      <x:c r="A8" s="45" t="str">
        <x:v>Target-specific contract</x:v>
      </x:c>
      <x:c r="B8" s="45" t="str">
        <x:v>R(T): requirements needed for an explicit scientific inference</x:v>
      </x:c>
      <x:c r="C8" s="45" t="str">
        <x:v>Contract layer</x:v>
      </x:c>
      <x:c r="D8" s="45" t="str">
        <x:v>CORE</x:v>
      </x:c>
      <x:c r="E8" s="45" t="str">
        <x:v>P — adequacy and governance rules exist, but V2 does not express a full generic contract</x:v>
      </x:c>
      <x:c r="F8" s="45" t="str">
        <x:v>P — evidence-type-specific rules exist; full generic contract not yet reconstructed</x:v>
      </x:c>
      <x:c r="G8" s="45" t="str">
        <x:v>D — critical model requirements and gates</x:v>
      </x:c>
      <x:c r="H8" s="45" t="str">
        <x:v>D — Q01–Q05 question-specific minimum contracts</x:v>
      </x:c>
      <x:c r="I8" s="45" t="str">
        <x:v>D/P</x:v>
      </x:c>
      <x:c r="J8" s="45" t="str">
        <x:v>The common denominator is target-dependent evaluation rather than generic data density alone.</x:v>
      </x:c>
      <x:c r="K8" s="45" t="str">
        <x:v>Do not claim that all four applications were originally implemented with the same formal R(T).</x:v>
      </x:c>
    </x:row>
    <x:row r="9">
      <x:c r="A9" s="66" t="str">
        <x:v>Aggregative / potentially compensatory branch</x:v>
      </x:c>
      <x:c r="B9" s="66" t="str">
        <x:v>R_agg(T) evaluated by a declared aggregation rule Ψ_T</x:v>
      </x:c>
      <x:c r="C9" s="66" t="str">
        <x:v>COMPENSATORY when explicitly permitted</x:v>
      </x:c>
      <x:c r="D9" s="66" t="str">
        <x:v>OPTIONAL BRANCH</x:v>
      </x:c>
      <x:c r="E9" s="66" t="str">
        <x:v>D — IPG uses a weighted additive formula (0.40 Dn + 0.35 Qn + 0.25 Cn); ICD uses the equal mean of five dimensions</x:v>
      </x:c>
      <x:c r="F9" s="66" t="str">
        <x:v>D/P — ICP is a multiplicative geometric mean; IOD/other base indices are numerical, but full compensation semantics vary by index</x:v>
      </x:c>
      <x:c r="G9" s="66" t="str">
        <x:v>D — the reproduced PAG pilot explicitly rejects weighted sums/scores and is gate-dominant</x:v>
      </x:c>
      <x:c r="H9" s="66" t="str">
        <x:v>D — the audited PIH branch explicitly has no integrated priority, weights or score</x:v>
      </x:c>
      <x:c r="I9" s="66" t="str">
        <x:v>D overall, with index-specific semantics</x:v>
      </x:c>
      <x:c r="J9" s="66" t="str">
        <x:v>The family contains genuine aggregation where declared (JOAJU; ITA base indices), while PAG and PIH deliberately avoid integrated compensatory scoring in the audited branches.</x:v>
      </x:c>
      <x:c r="K9" s="66" t="str">
        <x:v>Do not label every numerical index as fully compensatory; geometric means and eligibility rules can create partial or zero-veto behaviour.</x:v>
      </x:c>
    </x:row>
    <x:row r="10">
      <x:c r="A10" s="67" t="str">
        <x:v>Critical gate branch</x:v>
      </x:c>
      <x:c r="B10" s="67" t="str">
        <x:v>R_gate(T) evaluated non-compensatorily; critical deficits cannot be offset</x:v>
      </x:c>
      <x:c r="C10" s="67" t="str">
        <x:v>NON-COMPENSATORY</x:v>
      </x:c>
      <x:c r="D10" s="67" t="str">
        <x:v>CORE WHEN CRITICAL REQUIREMENTS EXIST</x:v>
      </x:c>
      <x:c r="E10" s="67" t="str">
        <x:v>P — null preservation and claim limits constrain interpretation, but the audited JOAJU protocols do not define a fatal target gate</x:v>
      </x:c>
      <x:c r="F10" s="67" t="str">
        <x:v>D — the seven-dimension audit records a synthesis gate as BLOCKED; PIG remains blocked until prerequisite products and rules are certified</x:v>
      </x:c>
      <x:c r="G10" s="67" t="str">
        <x:v>D — explicit non-compensatory logical/categorical framework; context accumulation does not replace diagnostic requirements</x:v>
      </x:c>
      <x:c r="H10" s="67" t="str">
        <x:v>D — question contracts remain blocked despite direct evidence; README explicitly states no weight, score or integrated priority</x:v>
      </x:c>
      <x:c r="I10" s="67" t="str">
        <x:v>D in ITA/PAG/PIH; P in JOAJU</x:v>
      </x:c>
      <x:c r="J10" s="67" t="str">
        <x:v>Non-compensation is not confined to PAG. ITA applies it at synthesis eligibility, PAG at model gates, and PIH at question-specific documentary chains.</x:v>
      </x:c>
      <x:c r="K10" s="67" t="str">
        <x:v>Do not claim JOAJU uses the same fatal-flaw logic unless an explicit protocol is found.</x:v>
      </x:c>
    </x:row>
    <x:row r="11">
      <x:c r="A11" s="68" t="str">
        <x:v>Hybrid combination</x:v>
      </x:c>
      <x:c r="B11" s="68" t="str">
        <x:v>I(x,s,T)=H_T[G(x,s,T), A(x,s,T)] where aggregation is interpreted only under the declared gate logic</x:v>
      </x:c>
      <x:c r="C11" s="68" t="str">
        <x:v>HYBRID</x:v>
      </x:c>
      <x:c r="D11" s="68" t="str">
        <x:v>PROPOSED FORMAL SYNTHESIS</x:v>
      </x:c>
      <x:c r="E11" s="68" t="str">
        <x:v>D for compensatory side; P for critical-gate side</x:v>
      </x:c>
      <x:c r="F11" s="68" t="str">
        <x:v>D — numerical base indices coexist with an explicit BLOCKED synthesis gate and null-preservation rules</x:v>
      </x:c>
      <x:c r="G11" s="68" t="str">
        <x:v>D — gate-dominant specialisation; compensatory branch intentionally absent from reproduced M2/M4 pilot</x:v>
      </x:c>
      <x:c r="H11" s="68" t="str">
        <x:v>D — gate-dominant specialisation; integrated compensatory score explicitly absent</x:v>
      </x:c>
      <x:c r="I11" s="68" t="str">
        <x:v>D as family-level synthesis; implementation form differs by application</x:v>
      </x:c>
      <x:c r="J11" s="68" t="str">
        <x:v>Direct repository evidence supports a hybrid family architecture: aggregation is permitted inside defined submodels, but higher-level inference can be gated and non-compensatory.</x:v>
      </x:c>
      <x:c r="K11" s="68" t="str">
        <x:v>Do not present H_T as a historical function implemented identically in all repositories; it is the formal synthesis reconstructed by the audit.</x:v>
      </x:c>
    </x:row>
    <x:row r="12">
      <x:c r="A12" s="45" t="str">
        <x:v>Bounded target state</x:v>
      </x:c>
      <x:c r="B12" s="45" t="str">
        <x:v>I(x,s,T): SUPPORTABLE / REJECTED_BY_EVIDENCE / NON_EVALUABLE / NOT_APPLICABLE</x:v>
      </x:c>
      <x:c r="C12" s="45" t="str">
        <x:v>Inference control</x:v>
      </x:c>
      <x:c r="D12" s="45" t="str">
        <x:v>CORE FORMAL OUTPUT</x:v>
      </x:c>
      <x:c r="E12" s="45" t="str">
        <x:v>P — can be retrospectively mapped for narrow targets</x:v>
      </x:c>
      <x:c r="F12" s="45" t="str">
        <x:v>P — requires contract reconstruction below derived indices</x:v>
      </x:c>
      <x:c r="G12" s="45" t="str">
        <x:v>D conceptually; open/evaluable → SUPPORTABLE remains to be reproduced with generic engine</x:v>
      </x:c>
      <x:c r="H12" s="45" t="str">
        <x:v>D at target level for NON_EVALUABLE; SUPPORTABLE branch has zero observed cases in V2</x:v>
      </x:c>
      <x:c r="I12" s="45" t="str">
        <x:v>D/P</x:v>
      </x:c>
      <x:c r="J12" s="45" t="str">
        <x:v>The model limits what can be inferred instead of forcing every unit to receive a score.</x:v>
      </x:c>
      <x:c r="K12" s="45" t="str">
        <x:v>Do not claim that all four native outputs already use these four labels.</x:v>
      </x:c>
    </x:row>
    <x:row r="13">
      <x:c r="A13" s="45" t="str">
        <x:v>Bottleneck preservation</x:v>
      </x:c>
      <x:c r="B13" s="45" t="str">
        <x:v>B(x,s,T): exact requirement(s) preventing supportable inference</x:v>
      </x:c>
      <x:c r="C13" s="45" t="str">
        <x:v>Diagnostic</x:v>
      </x:c>
      <x:c r="D13" s="45" t="str">
        <x:v>CORE CONSEQUENCE OF GATES</x:v>
      </x:c>
      <x:c r="E13" s="45" t="str">
        <x:v>P — deficiencies/adequacy limits can be identified, but B is not formalized</x:v>
      </x:c>
      <x:c r="F13" s="45" t="str">
        <x:v>P — representativity and evidence-type deficits are identifiable, but B is not formalized</x:v>
      </x:c>
      <x:c r="G13" s="45" t="str">
        <x:v>D conceptually; causes of UNKNOWN are preserved</x:v>
      </x:c>
      <x:c r="H13" s="45" t="str">
        <x:v>D — exact bottlenecks are part of the PIH design, though underreported in V2 results</x:v>
      </x:c>
      <x:c r="I13" s="45" t="str">
        <x:v>D/P</x:v>
      </x:c>
      <x:c r="J13" s="45" t="str">
        <x:v>The method can preserve why inference is blocked and link that deficit to evidence acquisition.</x:v>
      </x:c>
      <x:c r="K13" s="45" t="str">
        <x:v>Do not claim a published bottleneck distribution until T-C is computed.</x:v>
      </x:c>
    </x:row>
    <x:row r="14">
      <x:c r="A14" s="45" t="str">
        <x:v>Claim firewall</x:v>
      </x:c>
      <x:c r="B14" s="45" t="str">
        <x:v>F(T): explicit boundary on what the result does not imply</x:v>
      </x:c>
      <x:c r="C14" s="45" t="str">
        <x:v>Transversal constraint</x:v>
      </x:c>
      <x:c r="D14" s="45" t="str">
        <x:v>CORE</x:v>
      </x:c>
      <x:c r="E14" s="45" t="str">
        <x:v>D — no automatic certification, consent or tourism availability</x:v>
      </x:c>
      <x:c r="F14" s="45" t="str">
        <x:v>D — no replacement for field verification or source-scale limitations</x:v>
      </x:c>
      <x:c r="G14" s="45" t="str">
        <x:v>D — evaluability is not prospectivity, resource, reserve or authorization</x:v>
      </x:c>
      <x:c r="H14" s="45" t="str">
        <x:v>D — sufficiency is not groundwater potential, productivity or drilling authorization</x:v>
      </x:c>
      <x:c r="I14" s="45" t="str">
        <x:v>D</x:v>
      </x:c>
      <x:c r="J14" s="45" t="str">
        <x:v>All four applications preserve a boundary between evidential sufficiency and stronger substantive claims.</x:v>
      </x:c>
      <x:c r="K14" s="45" t="str">
        <x:v>Do not describe F(T) as automatically enforcing human interpretation unless the implementation does so.</x:v>
      </x:c>
    </x:row>
    <x:row r="15">
      <x:c r="A15" s="45" t="str">
        <x:v>Provenance and reproducibility</x:v>
      </x:c>
      <x:c r="B15" s="45" t="str">
        <x:v>source ↔ evidence ↔ rule ↔ output traceability</x:v>
      </x:c>
      <x:c r="C15" s="45" t="str">
        <x:v>Transversal</x:v>
      </x:c>
      <x:c r="D15" s="45" t="str">
        <x:v>CORE INFRASTRUCTURE</x:v>
      </x:c>
      <x:c r="E15" s="45" t="str">
        <x:v>D — implementation evidence and recalculation trace</x:v>
      </x:c>
      <x:c r="F15" s="45" t="str">
        <x:v>D — protocol/changelog plus executable/materialized indices</x:v>
      </x:c>
      <x:c r="G15" s="45" t="str">
        <x:v>D — frozen source → executable script → reproduced cell IDs/counts</x:v>
      </x:c>
      <x:c r="H15" s="45" t="str">
        <x:v>D — specs/builders/materialized outputs</x:v>
      </x:c>
      <x:c r="I15" s="45" t="str">
        <x:v>D</x:v>
      </x:c>
      <x:c r="J15" s="45" t="str">
        <x:v>The common substrate is auditable and reconstructable, with strongest end-to-end reproduction in PAG M2/M4.</x:v>
      </x:c>
      <x:c r="K15" s="45" t="str">
        <x:v>Do not equate reproducibility with scientific validity or external validation.</x:v>
      </x:c>
    </x:row>
    <x:row r="16">
      <x:c r="A16" s="45" t="str">
        <x:v>Spatial robustness</x:v>
      </x:c>
      <x:c r="B16" s="45" t="str">
        <x:v>Compare outcomes under support, scale, origin or zoning changes</x:v>
      </x:c>
      <x:c r="C16" s="45" t="str">
        <x:v>Transversal robustness</x:v>
      </x:c>
      <x:c r="D16" s="45" t="str">
        <x:v>OPTIONAL EXTENSION</x:v>
      </x:c>
      <x:c r="E16" s="45" t="str">
        <x:v>P — spatial adequacy is explicit; multiscale robustness not demonstrated in V2</x:v>
      </x:c>
      <x:c r="F16" s="45" t="str">
        <x:v>D — several indices independently recalculated at 250/500/1000 km²</x:v>
      </x:c>
      <x:c r="G16" s="45" t="str">
        <x:v>D — M2/M4 pilot independently evaluated at three supports</x:v>
      </x:c>
      <x:c r="H16" s="45" t="str">
        <x:v>D — five supports, multiple origins and fixed-support tests</x:v>
      </x:c>
      <x:c r="I16" s="45" t="str">
        <x:v>D/P</x:v>
      </x:c>
      <x:c r="J16" s="45" t="str">
        <x:v>Support sensitivity is a recurrent extension and becomes explicit in later applications.</x:v>
      </x:c>
      <x:c r="K16" s="45" t="str">
        <x:v>Do not claim the method solves MAUP.</x:v>
      </x:c>
    </x:row>
    <x:row r="19">
      <x:c r="A19" s="56" t="str">
        <x:v>Audit synthesis: the strongest defensible common model is not 'one algorithm shared by four applications'. It is a contract-based evidence architecture with three separable regimes: (1) aggregative/compensatory operations where the domain explicitly permits trade-offs; (2) non-compensatory gates for critical requirements; and (3) transversal constraints for spatial support, provenance and claim boundaries. PAG-ETR and PIH provide the clearest gate-dominant cases; ITA ARANDU provides the clearest aggregative case; JOAJU supplies null preservation, positional adequacy and claim-boundary controls.</x:v>
      </x:c>
      <x:c r="B19" s="56"/>
      <x:c r="C19" s="56"/>
      <x:c r="D19" s="56"/>
      <x:c r="E19" s="56"/>
      <x:c r="F19" s="56"/>
      <x:c r="G19" s="56"/>
      <x:c r="H19" s="56"/>
      <x:c r="I19" s="56"/>
      <x:c r="J19" s="56"/>
      <x:c r="K19" s="56"/>
    </x:row>
    <x:row r="21">
      <x:c r="A21" s="65" t="str">
        <x:v>Proposed V3 formalization to test, not yet a claim of identical native implementation</x:v>
      </x:c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</x:row>
    <x:row r="22">
      <x:c r="A22" s="61" t="str">
        <x:v>Object</x:v>
      </x:c>
      <x:c r="B22" s="61" t="str">
        <x:v>Expression / definition</x:v>
      </x:c>
      <x:c r="C22" s="61" t="str">
        <x:v>Interpretation</x:v>
      </x:c>
    </x:row>
    <x:row r="23">
      <x:c r="A23" s="45" t="str">
        <x:v>Contract partition</x:v>
      </x:c>
      <x:c r="B23" s="45" t="str">
        <x:v>R(T) = R_agg(T) ∪ R_gate(T) ∪ R_ctx(T)</x:v>
      </x:c>
      <x:c r="C23" s="45" t="str">
        <x:v>Aggregable requirements, critical gates, and contextual/transversal constraints are distinguished.</x:v>
      </x:c>
    </x:row>
    <x:row r="24">
      <x:c r="A24" s="45" t="str">
        <x:v>Aggregative branch</x:v>
      </x:c>
      <x:c r="B24" s="45" t="str">
        <x:v>A(x,s,T) = Ψ_T({qᵢ : rᵢ ∈ R_agg(T)})</x:v>
      </x:c>
      <x:c r="C24" s="45" t="str">
        <x:v>Ψ_T may be weighted, normalized, count-based or another declared rule; compensation is allowed only if specified.</x:v>
      </x:c>
    </x:row>
    <x:row r="25">
      <x:c r="A25" s="45" t="str">
        <x:v>Gate branch</x:v>
      </x:c>
      <x:c r="B25" s="45" t="str">
        <x:v>G(x,s,T) = Γ_T({qᵢ : rᵢ ∈ R_gate(T)})</x:v>
      </x:c>
      <x:c r="C25" s="45" t="str">
        <x:v>Critical FAIL/UNKNOWN/CONFLICT/INVALID states constrain or block inference according to the contract.</x:v>
      </x:c>
    </x:row>
    <x:row r="26">
      <x:c r="A26" s="45" t="str">
        <x:v>Bounded combination</x:v>
      </x:c>
      <x:c r="B26" s="45" t="str">
        <x:v>I(x,s,T) = H_T(G, A)</x:v>
      </x:c>
      <x:c r="C26" s="45" t="str">
        <x:v>A cannot override a blocking critical gate. Some applications may have no aggregative branch.</x:v>
      </x:c>
    </x:row>
    <x:row r="27">
      <x:c r="A27" s="45" t="str">
        <x:v>Context constraints</x:v>
      </x:c>
      <x:c r="B27" s="45" t="str">
        <x:v>R_ctx(T), F(T), provenance, support rules</x:v>
      </x:c>
      <x:c r="C27" s="45" t="str">
        <x:v>Carry assignment, source, spatial and claim-boundary information without being forced into a score.</x:v>
      </x:c>
    </x:row>
  </x:sheetData>
  <x:mergeCells>
    <x:mergeCell ref="A1:K1"/>
    <x:mergeCell ref="A2:K2"/>
    <x:mergeCell ref="A3:K3"/>
    <x:mergeCell ref="A19:K19"/>
    <x:mergeCell ref="A21:K2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30" hidden="0" customWidth="1"/>
    <x:col min="5" max="5" width="28" hidden="0" customWidth="1"/>
    <x:col min="6" max="6" width="43" hidden="0" customWidth="1"/>
    <x:col min="7" max="7" width="48" hidden="0" customWidth="1"/>
    <x:col min="8" max="8" width="42" hidden="0" customWidth="1"/>
    <x:col min="9" max="9" width="55" hidden="0" customWidth="1"/>
    <x:col min="10" max="10" width="48" hidden="0" customWidth="1"/>
  </x:cols>
  <x:sheetData>
    <x:row r="1">
      <x:c r="A1" s="73" t="str">
        <x:v>Direct implementation audit — evidence for compensatory, non-compensatory and hybrid logic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>
      <x:c r="A2" s="77" t="str">
        <x:v>Read-only audit of current repository files. Each row records only what the cited file explicitly supports. Repository SHA identifies the audited blob; no GitHub content was modified.</x:v>
      </x:c>
      <x:c r="B2" s="77"/>
      <x:c r="C2" s="77"/>
      <x:c r="D2" s="77"/>
      <x:c r="E2" s="77"/>
      <x:c r="F2" s="77"/>
      <x:c r="G2" s="77"/>
      <x:c r="H2" s="77"/>
      <x:c r="I2" s="77"/>
      <x:c r="J2" s="77"/>
    </x:row>
    <x:row r="4">
      <x:c r="A4" s="82" t="str">
        <x:v>Application</x:v>
      </x:c>
      <x:c r="B4" s="82" t="str">
        <x:v>Audited mechanism</x:v>
      </x:c>
      <x:c r="C4" s="82" t="str">
        <x:v>Observed rule / formula</x:v>
      </x:c>
      <x:c r="D4" s="82" t="str">
        <x:v>Logic class</x:v>
      </x:c>
      <x:c r="E4" s="82" t="str">
        <x:v>Level in architecture</x:v>
      </x:c>
      <x:c r="F4" s="82" t="str">
        <x:v>Null / missing-data treatment</x:v>
      </x:c>
      <x:c r="G4" s="82" t="str">
        <x:v>Direct implication for common model</x:v>
      </x:c>
      <x:c r="H4" s="82" t="str">
        <x:v>Blob SHA</x:v>
      </x:c>
      <x:c r="I4" s="82" t="str">
        <x:v>Source URL</x:v>
      </x:c>
      <x:c r="J4" s="82" t="str">
        <x:v>Audit caution</x:v>
      </x:c>
    </x:row>
    <x:row r="5">
      <x:c r="A5" s="86" t="str">
        <x:v>JOAJU MS</x:v>
      </x:c>
      <x:c r="B5" s="86" t="str">
        <x:v>IPG territorial</x:v>
      </x:c>
      <x:c r="C5" s="86" t="str">
        <x:v>IPG100 = 100 × (0.40 Dn + 0.35 Qn + 0.25 Cn)</x:v>
      </x:c>
      <x:c r="D5" s="86" t="str">
        <x:v>COMPENSATORY — weighted additive</x:v>
      </x:c>
      <x:c r="E5" s="86" t="str">
        <x:v>Derived territorial index</x:v>
      </x:c>
      <x:c r="F5" s="86" t="str">
        <x:v>Cells without sufficient geoscientific evidence remain without a documented value; absence is not zero</x:v>
      </x:c>
      <x:c r="G5" s="86" t="str">
        <x:v>Direct evidence that the family includes explicitly compensatory aggregation inside a bounded indicator</x:v>
      </x:c>
      <x:c r="H5" s="86" t="str">
        <x:v>b5f9af3228d365b894893ca9ce9d104e6ee98d78</x:v>
      </x:c>
      <x:c r="I5" s="86" t="str">
        <x:v>Repository URL withheld for double-blind review; repository/path: atlas-interativo-ms/blob/main/PROTOCOLO_IPG_TERRITORIAL_FASE3_2.md</x:v>
      </x:c>
      <x:c r="J5" s="86" t="str">
        <x:v>Compensation applies among Dn/Qn/Cn only after evidence is materialized; it does not authorize claims beyond documented geoscientific potential.</x:v>
      </x:c>
    </x:row>
    <x:row r="6">
      <x:c r="A6" s="86" t="str">
        <x:v>JOAJU MS</x:v>
      </x:c>
      <x:c r="B6" s="86" t="str">
        <x:v>ICD data coverage/quality</x:v>
      </x:c>
      <x:c r="C6" s="86" t="str">
        <x:v>ICD100 = 100 × equal mean of five dimensions; each dimension weight = 0.20</x:v>
      </x:c>
      <x:c r="D6" s="86" t="str">
        <x:v>COMPENSATORY — equal-weight arithmetic mean</x:v>
      </x:c>
      <x:c r="E6" s="86" t="str">
        <x:v>Information-quality index</x:v>
      </x:c>
      <x:c r="F6" s="86" t="str">
        <x:v>Null results in IPG/PEIC/IATI are not converted to territorial zero; missing modules reduce completeness without artificial positional/thematic adequacy</x:v>
      </x:c>
      <x:c r="G6" s="86" t="str">
        <x:v>Second direct example of declared compensatory integration, with missingness preserved rather than silently imputed</x:v>
      </x:c>
      <x:c r="H6" s="86" t="str">
        <x:v>9bdca849af90751ea11e7dc5bff69cdc5c4c9f73</x:v>
      </x:c>
      <x:c r="I6" s="86" t="str">
        <x:v>Repository URL withheld for double-blind review; repository/path: atlas-interativo-ms/blob/main/PROTOCOLO_ICD_250KM2_V1.8.0.md</x:v>
      </x:c>
      <x:c r="J6" s="86" t="str">
        <x:v>ICD evaluates coverage/quality of available information, not territorial potential or substantive truth.</x:v>
      </x:c>
    </x:row>
    <x:row r="7">
      <x:c r="A7" s="87" t="str">
        <x:v>ITA ARANDU MS</x:v>
      </x:c>
      <x:c r="B7" s="87" t="str">
        <x:v>ICP petrographic knowledge</x:v>
      </x:c>
      <x:c r="C7" s="87" t="str">
        <x:v>ICP_h = 100 × (P × U × Q)^(1/3)</x:v>
      </x:c>
      <x:c r="D7" s="87" t="str">
        <x:v>SEMI-COMPENSATORY — multiplicative geometric mean</x:v>
      </x:c>
      <x:c r="E7" s="87" t="str">
        <x:v>Base geoscientific dimension</x:v>
      </x:c>
      <x:c r="F7" s="87" t="str">
        <x:v>Hexagons without petrographic characterization remain transparent/null</x:v>
      </x:c>
      <x:c r="G7" s="87" t="str">
        <x:v>Shows that the compensatory branch is not restricted to additive scores; positive components trade off, while a zero component collapses the product</x:v>
      </x:c>
      <x:c r="H7" s="87" t="str">
        <x:v>76ba5a4384360fd032c9667b3a4c24527fb495d7</x:v>
      </x:c>
      <x:c r="I7" s="87" t="str">
        <x:v>Repository URL withheld for double-blind review; repository/path: atlas-geocientifico-ms/blob/main/README.md</x:v>
      </x:c>
      <x:c r="J7" s="87" t="str">
        <x:v>Do not call ICP fully compensatory: geometric aggregation has a zero-veto property and its components have distinct scientific meanings.</x:v>
      </x:c>
    </x:row>
    <x:row r="8">
      <x:c r="A8" s="88" t="str">
        <x:v>ITA ARANDU MS</x:v>
      </x:c>
      <x:c r="B8" s="88" t="str">
        <x:v>Seven-dimension synthesis audit</x:v>
      </x:c>
      <x:c r="C8" s="88" t="str">
        <x:v>Technical audit FAIL; synthesis gate BLOCKED; no IDE/ICG/VCG/PIG synthesis calculated</x:v>
      </x:c>
      <x:c r="D8" s="88" t="str">
        <x:v>NON-COMPENSATORY — synthesis eligibility gate</x:v>
      </x:c>
      <x:c r="E8" s="88" t="str">
        <x:v>Cross-index synthesis</x:v>
      </x:c>
      <x:c r="F8" s="88" t="str">
        <x:v>Null values remain absence of documented evidence and cannot be automatically converted to zero</x:v>
      </x:c>
      <x:c r="G8" s="88" t="str">
        <x:v>Direct evidence of hybrid architecture inside one application: numerical base indices coexist with a higher-level non-compensatory synthesis gate</x:v>
      </x:c>
      <x:c r="H8" s="88" t="str">
        <x:v>6b47edd070c411b42982f913e34cf744da3def7c</x:v>
      </x:c>
      <x:c r="I8" s="88" t="str">
        <x:v>Repository URL withheld for double-blind review; repository/path: atlas-geocientifico-ms/blob/main/docs/documentos/auditoria-sete-dimensoes.html</x:v>
      </x:c>
      <x:c r="J8" s="88" t="str">
        <x:v>The gate blocks synthesis because prerequisites/integrity are not satisfied; it is not evidence that the underlying geological phenomenon is absent.</x:v>
      </x:c>
    </x:row>
    <x:row r="9">
      <x:c r="A9" s="88" t="str">
        <x:v>ITA ARANDU MS</x:v>
      </x:c>
      <x:c r="B9" s="88" t="str">
        <x:v>PIG synthesis prerequisite</x:v>
      </x:c>
      <x:c r="C9" s="88" t="str">
        <x:v>PIG remains blocked until VCG is certified and independent geological-complexity/Pareto rules are defined</x:v>
      </x:c>
      <x:c r="D9" s="88" t="str">
        <x:v>NON-COMPENSATORY — prerequisite gate</x:v>
      </x:c>
      <x:c r="E9" s="88" t="str">
        <x:v>Higher-level priority synthesis</x:v>
      </x:c>
      <x:c r="F9" s="88" t="str">
        <x:v>Explicit null policy and minimum-eligibility rule required before synthesis</x:v>
      </x:c>
      <x:c r="G9" s="88" t="str">
        <x:v>Confirms that favourable base-index values cannot simply compensate for missing prerequisite products or undefined synthesis rules</x:v>
      </x:c>
      <x:c r="H9" s="88" t="str">
        <x:v>6b47edd070c411b42982f913e34cf744da3def7c</x:v>
      </x:c>
      <x:c r="I9" s="88" t="str">
        <x:v>Repository URL withheld for double-blind review; repository/path: atlas-geocientifico-ms/blob/main/docs/documentos/auditoria-sete-dimensoes.html</x:v>
      </x:c>
      <x:c r="J9" s="88" t="str">
        <x:v>This supports gate-based eligibility, not a universal ordering of all ITA indices.</x:v>
      </x:c>
    </x:row>
    <x:row r="10">
      <x:c r="A10" s="88" t="str">
        <x:v>PAG-ETR MS</x:v>
      </x:c>
      <x:c r="B10" s="88" t="str">
        <x:v>M2/M4 spatial pilot</x:v>
      </x:c>
      <x:c r="C10" s="88" t="str">
        <x:v>Logical/categorical system; README explicitly states no weighted sum, 0–100 score or deposit probability</x:v>
      </x:c>
      <x:c r="D10" s="88" t="str">
        <x:v>NON-COMPENSATORY — categorical gate</x:v>
      </x:c>
      <x:c r="E10" s="88" t="str">
        <x:v>Model evaluability</x:v>
      </x:c>
      <x:c r="F10" s="88" t="str">
        <x:v>SEM_DADO ≠ 0; context accumulation does not substitute diagnostic requirement</x:v>
      </x:c>
      <x:c r="G10" s="88" t="str">
        <x:v>PAG is the clearest gate-dominant specialisation of the common architecture</x:v>
      </x:c>
      <x:c r="H10" s="88" t="str">
        <x:v>522374d71f3475b686492b508c689e6ceb6b7916</x:v>
      </x:c>
      <x:c r="I10" s="88" t="str">
        <x:v>Repository URL withheld for double-blind review; repository/path: pag-etr-ms/blob/main/README.md</x:v>
      </x:c>
      <x:c r="J10" s="88" t="str">
        <x:v>The reproduced pilot spatializes only M2/M4 and N0/N1; it must not be represented as full prospectivity or the complete M1–M11 library.</x:v>
      </x:c>
    </x:row>
    <x:row r="11">
      <x:c r="A11" s="88" t="str">
        <x:v>PIH-MS</x:v>
      </x:c>
      <x:c r="B11" s="88" t="str">
        <x:v>Question-specific research priority</x:v>
      </x:c>
      <x:c r="C11" s="88" t="str">
        <x:v>45,145 cell-question pairs; UNKNOWN/P1/P2/P3; no integrated priority, no weight, no score, no interpolation or prediction</x:v>
      </x:c>
      <x:c r="D11" s="88" t="str">
        <x:v>NON-COMPENSATORY — staged documentary gates</x:v>
      </x:c>
      <x:c r="E11" s="88" t="str">
        <x:v>Question-specific evidence sufficiency</x:v>
      </x:c>
      <x:c r="F11" s="88" t="str">
        <x:v>Partial evidence is published and individual blockers are retained; UNKNOWN ≠ ZERO</x:v>
      </x:c>
      <x:c r="G11" s="88" t="str">
        <x:v>PIH generalizes gate logic from mineral-system evaluability to purpose-specific hydrogeological evidence contracts</x:v>
      </x:c>
      <x:c r="H11" s="88" t="str">
        <x:v>dcd0b2818c16e2562a32581aaa90ae09e1b4193e</x:v>
      </x:c>
      <x:c r="I11" s="88" t="str">
        <x:v>Repository URL withheld for double-blind review; repository/path: pih-ms/blob/main/README.md</x:v>
      </x:c>
      <x:c r="J11" s="88" t="str">
        <x:v>Stages are documentary/research states, not groundwater potential, productivity or absolute urgency.</x:v>
      </x:c>
    </x:row>
    <x:row r="12">
      <x:c r="A12" s="88" t="str">
        <x:v>PIH-MS</x:v>
      </x:c>
      <x:c r="B12" s="88" t="str">
        <x:v>Sufficiency conditioned by Q01–Q05</x:v>
      </x:c>
      <x:c r="C12" s="88" t="str">
        <x:v>No well meets the complete documentary minimum under current conservative rules; no universal minimum well count</x:v>
      </x:c>
      <x:c r="D12" s="88" t="str">
        <x:v>NON-COMPENSATORY — complete-chain requirement</x:v>
      </x:c>
      <x:c r="E12" s="88" t="str">
        <x:v>Well-question contract</x:v>
      </x:c>
      <x:c r="F12" s="88" t="str">
        <x:v>Evidence may be direct or partial while the complete contract remains unsatisfied</x:v>
      </x:c>
      <x:c r="G12" s="88" t="str">
        <x:v>Demonstrates why abundant evidence cannot automatically compensate for a missing required link in the evidence chain</x:v>
      </x:c>
      <x:c r="H12" s="88" t="str">
        <x:v>dcd0b2818c16e2562a32581aaa90ae09e1b4193e</x:v>
      </x:c>
      <x:c r="I12" s="88" t="str">
        <x:v>Repository URL withheld for double-blind review; repository/path: pih-ms/blob/main/README.md</x:v>
      </x:c>
      <x:c r="J12" s="88" t="str">
        <x:v>Zero complete cases is a result under the declared contract, not proof of absence of hydrogeological knowledge.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44" hidden="0" customWidth="1"/>
    <x:col min="4" max="4" width="48" hidden="0" customWidth="1"/>
    <x:col min="5" max="5" width="50" hidden="0" customWidth="1"/>
    <x:col min="6" max="6" width="45" hidden="0" customWidth="1"/>
  </x:cols>
  <x:sheetData>
    <x:row r="1">
      <x:c r="A1" s="73" t="str">
        <x:v>V3 formalization — hybrid evidence-contract architecture</x:v>
      </x:c>
      <x:c r="B1" s="73"/>
      <x:c r="C1" s="73"/>
      <x:c r="D1" s="73"/>
      <x:c r="E1" s="73"/>
      <x:c r="F1" s="73"/>
    </x:row>
    <x:row r="2">
      <x:c r="A2" s="77" t="str">
        <x:v>This formalization is an audit-derived synthesis. It does not claim that a single historical equation was implemented identically in all four applications.</x:v>
      </x:c>
      <x:c r="B2" s="77"/>
      <x:c r="C2" s="77"/>
      <x:c r="D2" s="77"/>
      <x:c r="E2" s="77"/>
      <x:c r="F2" s="77"/>
    </x:row>
    <x:row r="4">
      <x:c r="A4" s="82" t="str">
        <x:v>Element</x:v>
      </x:c>
      <x:c r="B4" s="82" t="str">
        <x:v>Notation</x:v>
      </x:c>
      <x:c r="C4" s="82" t="str">
        <x:v>Definition</x:v>
      </x:c>
      <x:c r="D4" s="82" t="str">
        <x:v>Operational rule</x:v>
      </x:c>
      <x:c r="E4" s="82" t="str">
        <x:v>Empirical support in the four applications</x:v>
      </x:c>
      <x:c r="F4" s="82" t="str">
        <x:v>Claim boundary</x:v>
      </x:c>
    </x:row>
    <x:row r="5">
      <x:c r="A5" s="45" t="str">
        <x:v>Spatial evidence</x:v>
      </x:c>
      <x:c r="B5" s="45" t="str">
        <x:v>E(x,s)</x:v>
      </x:c>
      <x:c r="C5" s="45" t="str">
        <x:v>Traceable evidence associated with spatial unit x under support/partition s</x:v>
      </x:c>
      <x:c r="D5" s="45" t="str">
        <x:v>Preserve evidence state, source and assignment; missing evidence is not automatically zero</x:v>
      </x:c>
      <x:c r="E5" s="45" t="str">
        <x:v>JOAJU null preservation; ITA null base dimensions; PAG SEM_DADO; PIH UNKNOWN</x:v>
      </x:c>
      <x:c r="F5" s="45" t="str">
        <x:v>Evidence state is not phenomenon probability.</x:v>
      </x:c>
    </x:row>
    <x:row r="6">
      <x:c r="A6" s="45" t="str">
        <x:v>Target-specific contract</x:v>
      </x:c>
      <x:c r="B6" s="45" t="str">
        <x:v>R(T)</x:v>
      </x:c>
      <x:c r="C6" s="45" t="str">
        <x:v>Declared requirements for scientific target T</x:v>
      </x:c>
      <x:c r="D6" s="45" t="str">
        <x:v>The contract must specify which requirements can aggregate, which are critical gates, and which are contextual/transversal</x:v>
      </x:c>
      <x:c r="E6" s="45" t="str">
        <x:v>Explicit in PAG and PIH; reconstructable/implicit in JOAJU and ITA</x:v>
      </x:c>
      <x:c r="F6" s="45" t="str">
        <x:v>Do not claim all applications originally used the same contract syntax.</x:v>
      </x:c>
    </x:row>
    <x:row r="7">
      <x:c r="A7" s="45" t="str">
        <x:v>Aggregative subset</x:v>
      </x:c>
      <x:c r="B7" s="45" t="str">
        <x:v>R_agg(T)</x:v>
      </x:c>
      <x:c r="C7" s="45" t="str">
        <x:v>Requirements or dimensions for which declared trade-offs are scientifically admissible</x:v>
      </x:c>
      <x:c r="D7" s="45" t="str">
        <x:v>Evaluate with Ψ_T only when the domain defines a valid aggregation rule</x:v>
      </x:c>
      <x:c r="E7" s="45" t="str">
        <x:v>JOAJU IPG weighted sum; JOAJU ICD equal mean; ITA ICP geometric mean</x:v>
      </x:c>
      <x:c r="F7" s="45" t="str">
        <x:v>A numerical index is not automatically fully compensatory.</x:v>
      </x:c>
    </x:row>
    <x:row r="8">
      <x:c r="A8" s="45" t="str">
        <x:v>Aggregative result</x:v>
      </x:c>
      <x:c r="B8" s="45" t="str">
        <x:v>A(x,s,T)=Ψ_T({qᵢ})</x:v>
      </x:c>
      <x:c r="C8" s="45" t="str">
        <x:v>Composite result from R_agg(T)</x:v>
      </x:c>
      <x:c r="D8" s="45" t="str">
        <x:v>Ψ_T may be additive, arithmetic-mean, geometric, count-based or another declared rule</x:v>
      </x:c>
      <x:c r="E8" s="45" t="str">
        <x:v>Observed additive, arithmetic-mean and geometric forms across JOAJU/ITA</x:v>
      </x:c>
      <x:c r="F8" s="45" t="str">
        <x:v>Do not transfer weights or thresholds between domains.</x:v>
      </x:c>
    </x:row>
    <x:row r="9">
      <x:c r="A9" s="45" t="str">
        <x:v>Critical-gate subset</x:v>
      </x:c>
      <x:c r="B9" s="45" t="str">
        <x:v>R_gate(T)</x:v>
      </x:c>
      <x:c r="C9" s="45" t="str">
        <x:v>Requirements whose failure or unresolved state cannot be offset by unrelated favourable evidence</x:v>
      </x:c>
      <x:c r="D9" s="45" t="str">
        <x:v>Evaluate through gate operator Γ_T</x:v>
      </x:c>
      <x:c r="E9" s="45" t="str">
        <x:v>ITA synthesis BLOCKED; PAG critical/categorical model gates; PIH complete-chain contracts</x:v>
      </x:c>
      <x:c r="F9" s="45" t="str">
        <x:v>Not every requirement in every application is critical.</x:v>
      </x:c>
    </x:row>
    <x:row r="10">
      <x:c r="A10" s="45" t="str">
        <x:v>Gate result</x:v>
      </x:c>
      <x:c r="B10" s="45" t="str">
        <x:v>G(x,s,T)=Γ_T({qᵢ})</x:v>
      </x:c>
      <x:c r="C10" s="45" t="str">
        <x:v>Eligibility/control state of critical requirements</x:v>
      </x:c>
      <x:c r="D10" s="45" t="str">
        <x:v>Critical FAIL can reject; unresolved critical evidence can block evaluation; passing gates permits but does not prove phenomenon occurrence</x:v>
      </x:c>
      <x:c r="E10" s="45" t="str">
        <x:v>PAG and PIH are gate-dominant; ITA uses gates at synthesis eligibility</x:v>
      </x:c>
      <x:c r="F10" s="45" t="str">
        <x:v>Gate result is inferential permission/constraint, not substantive occurrence.</x:v>
      </x:c>
    </x:row>
    <x:row r="11">
      <x:c r="A11" s="45" t="str">
        <x:v>Context/transversal subset</x:v>
      </x:c>
      <x:c r="B11" s="45" t="str">
        <x:v>R_ctx(T)</x:v>
      </x:c>
      <x:c r="C11" s="45" t="str">
        <x:v>Spatial assignment, provenance, support, source-scale limits and other constraints not reduced to the score</x:v>
      </x:c>
      <x:c r="D11" s="45" t="str">
        <x:v>Carry constraints through the workflow rather than forcing them into A</x:v>
      </x:c>
      <x:c r="E11" s="45" t="str">
        <x:v>JOAJU positional adequacy; ITA/PAG/PIH scale sensitivity and provenance</x:v>
      </x:c>
      <x:c r="F11" s="45" t="str">
        <x:v>Context must not silently become favourability.</x:v>
      </x:c>
    </x:row>
    <x:row r="12">
      <x:c r="A12" s="45" t="str">
        <x:v>Hybrid bounded inference</x:v>
      </x:c>
      <x:c r="B12" s="45" t="str">
        <x:v>I(x,s,T)=H_T[G,A,R_ctx]</x:v>
      </x:c>
      <x:c r="C12" s="45" t="str">
        <x:v>Final bounded state produced from gate, aggregative result and contextual constraints</x:v>
      </x:c>
      <x:c r="D12" s="45" t="str">
        <x:v>A(x,s,T) cannot override a blocking critical gate; applications may omit A or use only gate logic</x:v>
      </x:c>
      <x:c r="E12" s="45" t="str">
        <x:v>Family-level pattern reconstructed from JOAJU + ITA + PAG + PIH</x:v>
      </x:c>
      <x:c r="F12" s="45" t="str">
        <x:v>H_T is the formal synthesis proposed by this study, not a historical common code path.</x:v>
      </x:c>
    </x:row>
    <x:row r="13">
      <x:c r="A13" s="45" t="str">
        <x:v>Bottleneck set</x:v>
      </x:c>
      <x:c r="B13" s="45" t="str">
        <x:v>B(x,s,T)</x:v>
      </x:c>
      <x:c r="C13" s="45" t="str">
        <x:v>Exact critical requirements preventing supportable inference</x:v>
      </x:c>
      <x:c r="D13" s="45" t="str">
        <x:v>Retain blockers and connect them to evidence-acquisition actions</x:v>
      </x:c>
      <x:c r="E13" s="45" t="str">
        <x:v>PAG preserves causes of unknown; PIH identifies blockers; ITA synthesis audit names blocking conditions</x:v>
      </x:c>
      <x:c r="F13" s="45" t="str">
        <x:v>Do not imply that all blocker distributions have already been quantified.</x:v>
      </x:c>
    </x:row>
    <x:row r="14">
      <x:c r="A14" s="45" t="str">
        <x:v>Claim firewall</x:v>
      </x:c>
      <x:c r="B14" s="45" t="str">
        <x:v>F(T)</x:v>
      </x:c>
      <x:c r="C14" s="45" t="str">
        <x:v>Explicit statement of interpretations not licensed by I or A</x:v>
      </x:c>
      <x:c r="D14" s="45" t="str">
        <x:v>Return/attach claim boundary to outputs</x:v>
      </x:c>
      <x:c r="E14" s="45" t="str">
        <x:v>Present in all four applications in domain-specific form</x:v>
      </x:c>
      <x:c r="F14" s="45" t="str">
        <x:v>Cannot by itself prevent later human misuse.</x:v>
      </x:c>
    </x:row>
    <x:row r="17">
      <x:c r="A17" s="85" t="str">
        <x:v>Manuscript-ready methodological statement (working V3 text)</x:v>
      </x:c>
      <x:c r="B17" s="85"/>
      <x:c r="C17" s="85"/>
      <x:c r="D17" s="85"/>
      <x:c r="E17" s="85"/>
      <x:c r="F17" s="85"/>
    </x:row>
    <x:row r="18">
      <x:c r="A18" s="77" t="str">
        <x:v>The common architecture does not impose a single decision rule on all evidence. Instead, each target contract separates requirements that may be aggregated from requirements that act as non-compensatory gates and from contextual constraints that should not be reduced to a score. Let R(T)=Ragg(T)∪Rgate(T)∪Rctx(T). For Ragg(T), a domain-declared operator ΨT may combine admissible dimensions into A(x,s,T); the audited applications include weighted additive, equal-mean and geometric forms. For Rgate(T), ΓT evaluates critical requirements whose failure or unresolved state cannot be repaired by unrelated favourable evidence. The bounded inference I(x,s,T)=HT[G(x,s,T),A(x,s,T),Rctx(T)] therefore permits aggregation only after the relevant critical conditions are satisfied. This distinction is empirical rather than purely conceptual: JOAJU MS contains weighted and equal-mean composite indicators; ITA ARANDU MS combines numerical base indices with an explicit synthesis gate that can remain BLOCKED; PAG-ETR MS deliberately rejects weighted scoring in favour of categorical model gates; and PIH-MS likewise retains question-specific documentary blockers without an integrated score.</x:v>
      </x:c>
      <x:c r="B18" s="77"/>
      <x:c r="C18" s="77"/>
      <x:c r="D18" s="77"/>
      <x:c r="E18" s="77"/>
      <x:c r="F18" s="77"/>
    </x:row>
    <x:row r="19">
      <x:c r="A19" s="77"/>
      <x:c r="B19" s="77"/>
      <x:c r="C19" s="77"/>
      <x:c r="D19" s="77"/>
      <x:c r="E19" s="77"/>
      <x:c r="F19" s="77"/>
    </x:row>
    <x:row r="20">
      <x:c r="A20" s="77"/>
      <x:c r="B20" s="77"/>
      <x:c r="C20" s="77"/>
      <x:c r="D20" s="77"/>
      <x:c r="E20" s="77"/>
      <x:c r="F20" s="77"/>
    </x:row>
    <x:row r="21">
      <x:c r="A21" s="77"/>
      <x:c r="B21" s="77"/>
      <x:c r="C21" s="77"/>
      <x:c r="D21" s="77"/>
      <x:c r="E21" s="77"/>
      <x:c r="F21" s="77"/>
    </x:row>
    <x:row r="22">
      <x:c r="A22" s="77"/>
      <x:c r="B22" s="77"/>
      <x:c r="C22" s="77"/>
      <x:c r="D22" s="77"/>
      <x:c r="E22" s="77"/>
      <x:c r="F22" s="77"/>
    </x:row>
  </x:sheetData>
  <x:mergeCells>
    <x:mergeCell ref="A1:F1"/>
    <x:mergeCell ref="A2:F2"/>
    <x:mergeCell ref="A17:F17"/>
    <x:mergeCell ref="A18:F2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0" hidden="0" customWidth="1"/>
    <x:col min="3" max="3" width="43" hidden="0" customWidth="1"/>
    <x:col min="4" max="4" width="9" hidden="0" customWidth="1"/>
    <x:col min="5" max="5" width="9" hidden="0" customWidth="1"/>
    <x:col min="6" max="6" width="21" hidden="0" customWidth="1"/>
    <x:col min="7" max="7" width="43" hidden="0" customWidth="1"/>
    <x:col min="8" max="8" width="42" hidden="0" customWidth="1"/>
    <x:col min="9" max="9" width="40" hidden="0" customWidth="1"/>
    <x:col min="10" max="10" width="43" hidden="0" customWidth="1"/>
    <x:col min="11" max="11" width="39" hidden="0" customWidth="1"/>
    <x:col min="12" max="12" width="56" hidden="0" customWidth="1"/>
    <x:col min="13" max="13" width="42" hidden="0" customWidth="1"/>
    <x:col min="15" max="15" width="18" hidden="0" customWidth="1"/>
    <x:col min="16" max="16" width="18" hidden="0" customWidth="1"/>
  </x:cols>
  <x:sheetData>
    <x:row r="1" ht="28" customHeight="1">
      <x:c r="A1" s="94" t="str">
        <x:v>Definitive common-architecture matrix — direct evidence from the four implementations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</x:row>
    <x:row r="2" ht="48" customHeight="1">
      <x:c r="A2" s="98" t="str">
        <x:v>Purpose: test, rather than assume, the shared architecture. A mechanism is marked COMMON only when its functional role is supported across applications; application-specific formulas remain specific.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3" ht="36" customHeight="1">
      <x:c r="A3" s="98" t="str">
        <x:v>Logic codes: C = compensatory/aggregative; SC = semi-compensatory; NC = non-compensatory gate; CTX = contextual constraint; T = transversal. Evidence: D = directly documented; P = partial/implicit.</x:v>
      </x:c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</x:row>
    <x:row r="5" ht="42" customHeight="1">
      <x:c r="A5" s="103" t="str">
        <x:v>Application</x:v>
      </x:c>
      <x:c r="B5" s="103" t="str">
        <x:v>Mechanism</x:v>
      </x:c>
      <x:c r="C5" s="103" t="str">
        <x:v>Native rule / formula</x:v>
      </x:c>
      <x:c r="D5" s="103" t="str">
        <x:v>Logic</x:v>
      </x:c>
      <x:c r="E5" s="103" t="str">
        <x:v>Evidence</x:v>
      </x:c>
      <x:c r="F5" s="103" t="str">
        <x:v>Architectural layer</x:v>
      </x:c>
      <x:c r="G5" s="103" t="str">
        <x:v>Role in common model</x:v>
      </x:c>
      <x:c r="H5" s="103" t="str">
        <x:v>Missing / null treatment</x:v>
      </x:c>
      <x:c r="I5" s="103" t="str">
        <x:v>Spatial-support treatment</x:v>
      </x:c>
      <x:c r="J5" s="103" t="str">
        <x:v>Claim boundary</x:v>
      </x:c>
      <x:c r="K5" s="103" t="str">
        <x:v>Transfer / lineage meaning</x:v>
      </x:c>
      <x:c r="L5" s="103" t="str">
        <x:v>Source</x:v>
      </x:c>
      <x:c r="M5" s="103" t="str">
        <x:v>Audit conclusion</x:v>
      </x:c>
      <x:c r="O5" s="103" t="str">
        <x:v>Logic class</x:v>
      </x:c>
      <x:c r="P5" s="103" t="str">
        <x:v>Direct mechanisms</x:v>
      </x:c>
    </x:row>
    <x:row r="6">
      <x:c r="A6" s="107" t="str">
        <x:v>JOAJU MS</x:v>
      </x:c>
      <x:c r="B6" s="107" t="str">
        <x:v>IPG territorial</x:v>
      </x:c>
      <x:c r="C6" s="107" t="str">
        <x:v>IPG100 = 100 × (0.40 Dn + 0.35 Qn + 0.25 Cn)</x:v>
      </x:c>
      <x:c r="D6" s="107" t="str">
        <x:v>C</x:v>
      </x:c>
      <x:c r="E6" s="107" t="str">
        <x:v>D</x:v>
      </x:c>
      <x:c r="F6" s="107" t="str">
        <x:v>R_agg</x:v>
      </x:c>
      <x:c r="G6" s="107" t="str">
        <x:v>Declared weighted aggregation of evidence-derived dimensions</x:v>
      </x:c>
      <x:c r="H6" s="107" t="str">
        <x:v>Cells without sufficient documented evidence retain null; absence ≠ zero</x:v>
      </x:c>
      <x:c r="I6" s="107" t="str">
        <x:v>Recalculated on the 250 km² master grid; two non-intersecting records remain unassociated</x:v>
      </x:c>
      <x:c r="J6" s="107" t="str">
        <x:v>Documented geoscientific territorial potential ≠ viability, governance, UNESCO recognition or tourism quality</x:v>
      </x:c>
      <x:c r="K6" s="107" t="str">
        <x:v>Shows the compensatory branch already existed in the territorial application</x:v>
      </x:c>
      <x:c r="L6" s="107" t="str">
        <x:v>Repository URL withheld for double-blind review; repository/path: atlas-interativo-ms/blob/main/PROTOCOLO_IPG_TERRITORIAL_FASE3_2.md</x:v>
      </x:c>
      <x:c r="M6" s="107" t="str">
        <x:v>Direct compensatory case with explicit null preservation and claim limits</x:v>
      </x:c>
      <x:c r="O6" t="str">
        <x:v>C</x:v>
      </x:c>
      <x:c r="P6" t="n">
        <x:f>COUNTIFS($D$6:$D$19,O6,$E$6:$E$19,"D")</x:f>
        <x:v>2</x:v>
      </x:c>
    </x:row>
    <x:row r="7">
      <x:c r="A7" s="107" t="str">
        <x:v>JOAJU MS</x:v>
      </x:c>
      <x:c r="B7" s="107" t="str">
        <x:v>ICD information quality</x:v>
      </x:c>
      <x:c r="C7" s="107" t="str">
        <x:v>ICD100 = 100 × equal mean of five dimensions; each weight = 0.20</x:v>
      </x:c>
      <x:c r="D7" s="107" t="str">
        <x:v>C</x:v>
      </x:c>
      <x:c r="E7" s="107" t="str">
        <x:v>D</x:v>
      </x:c>
      <x:c r="F7" s="107" t="str">
        <x:v>R_agg + R_ctx</x:v>
      </x:c>
      <x:c r="G7" s="107" t="str">
        <x:v>Compensatory aggregation of completeness, currency, positional adequacy, thematic completeness and traceability</x:v>
      </x:c>
      <x:c r="H7" s="107" t="str">
        <x:v>Missing module result is not territorial zero; it reduces completeness and does not receive artificial adequacy</x:v>
      </x:c>
      <x:c r="I7" s="107" t="str">
        <x:v>Positional adequacy is explicitly reduced for area-weighted municipal context</x:v>
      </x:c>
      <x:c r="J7" s="107" t="str">
        <x:v>Information quality ≠ substantive truth or territorial potential</x:v>
      </x:c>
      <x:c r="K7" s="107" t="str">
        <x:v>Provides the clearest quality/adequacy component inherited by the integrated architecture</x:v>
      </x:c>
      <x:c r="L7" s="107" t="str">
        <x:v>Repository URL withheld for double-blind review; repository/path: atlas-interativo-ms/blob/main/PROTOCOLO_ICD_250KM2_V1.8.0.md</x:v>
      </x:c>
      <x:c r="M7" s="107" t="str">
        <x:v>Direct compensatory case with contextual safeguards</x:v>
      </x:c>
      <x:c r="O7" t="str">
        <x:v>SC</x:v>
      </x:c>
      <x:c r="P7" t="n">
        <x:f>COUNTIFS($D$6:$D$19,O7,$E$6:$E$19,"D")</x:f>
        <x:v>1</x:v>
      </x:c>
    </x:row>
    <x:row r="8">
      <x:c r="A8" s="108" t="str">
        <x:v>JOAJU MS</x:v>
      </x:c>
      <x:c r="B8" s="108" t="str">
        <x:v>Unassociated geoscientific records</x:v>
      </x:c>
      <x:c r="C8" s="108" t="str">
        <x:v>Records outside/intersecting no grid cell are preserved as unassociated; no nearest-cell relocation</x:v>
      </x:c>
      <x:c r="D8" s="108" t="str">
        <x:v>CTX</x:v>
      </x:c>
      <x:c r="E8" s="108" t="str">
        <x:v>D</x:v>
      </x:c>
      <x:c r="F8" s="108" t="str">
        <x:v>R_ctx</x:v>
      </x:c>
      <x:c r="G8" s="108" t="str">
        <x:v>Separates evidence validity from spatial assignment to support x</x:v>
      </x:c>
      <x:c r="H8" s="108" t="str">
        <x:v>Unassociated is not zero and not automatically INVALID</x:v>
      </x:c>
      <x:c r="I8" s="108" t="str">
        <x:v>Assignment itself is audited; geometry is not silently repaired</x:v>
      </x:c>
      <x:c r="J8" s="108" t="str">
        <x:v>No inference is created by forced spatial reassignment</x:v>
      </x:c>
      <x:c r="K8" s="108" t="str">
        <x:v>Important correction to the generic schema: assignment state should remain separate from epistemic state</x:v>
      </x:c>
      <x:c r="L8" s="108" t="str">
        <x:v>Repository URL withheld for double-blind review; repository/path: atlas-interativo-ms/blob/main/PROTOCOLO_IPG_TERRITORIAL_FASE3_2.md</x:v>
      </x:c>
      <x:c r="M8" s="108" t="str">
        <x:v>Common-model contextual constraint, not a seventh evidence state</x:v>
      </x:c>
      <x:c r="O8" t="str">
        <x:v>NC</x:v>
      </x:c>
      <x:c r="P8" t="n">
        <x:f>COUNTIFS($D$6:$D$19,O8,$E$6:$E$19,"D")</x:f>
        <x:v>7</x:v>
      </x:c>
    </x:row>
    <x:row r="9">
      <x:c r="A9" s="109" t="str">
        <x:v>ITA ARANDU MS</x:v>
      </x:c>
      <x:c r="B9" s="109" t="str">
        <x:v>ICP petrographic knowledge</x:v>
      </x:c>
      <x:c r="C9" s="109" t="str">
        <x:v>ICP_h = 100 × (P × U × Q)^(1/3)</x:v>
      </x:c>
      <x:c r="D9" s="109" t="str">
        <x:v>SC</x:v>
      </x:c>
      <x:c r="E9" s="109" t="str">
        <x:v>D</x:v>
      </x:c>
      <x:c r="F9" s="109" t="str">
        <x:v>R_agg</x:v>
      </x:c>
      <x:c r="G9" s="109" t="str">
        <x:v>Multiplicative integration of density/occupation, local lithostratigraphic representativity and documentary completeness</x:v>
      </x:c>
      <x:c r="H9" s="109" t="str">
        <x:v>Hexagons without petrographic characterization remain null/transparent</x:v>
      </x:c>
      <x:c r="I9" s="109" t="str">
        <x:v>Calculated independently at 250, 500 and 1000 km²</x:v>
      </x:c>
      <x:c r="J9" s="109" t="str">
        <x:v>Index does not replace field verification; Q measures documentary completeness, not laboratory quality</x:v>
      </x:c>
      <x:c r="K9" s="109" t="str">
        <x:v>Demonstrates a non-additive aggregative branch inside the same family</x:v>
      </x:c>
      <x:c r="L9" s="109" t="str">
        <x:v>Repository URL withheld for double-blind review; repository/path: atlas-geocientifico-ms/blob/main/README.md</x:v>
      </x:c>
      <x:c r="M9" s="109" t="str">
        <x:v>Semi-compensatory case: trade-offs among positive components, but zero has veto-like effect</x:v>
      </x:c>
      <x:c r="O9" t="str">
        <x:v>CTX</x:v>
      </x:c>
      <x:c r="P9" t="n">
        <x:f>COUNTIFS($D$6:$D$19,O9,$E$6:$E$19,"D")</x:f>
        <x:v>1</x:v>
      </x:c>
    </x:row>
    <x:row r="10">
      <x:c r="A10" s="110" t="str">
        <x:v>ITA ARANDU MS</x:v>
      </x:c>
      <x:c r="B10" s="110" t="str">
        <x:v>Seven-dimension synthesis eligibility</x:v>
      </x:c>
      <x:c r="C10" s="110" t="str">
        <x:v>Audit FAIL → synthesis gate BLOCKED; IDE/ICG/VCG/PIG not calculated</x:v>
      </x:c>
      <x:c r="D10" s="110" t="str">
        <x:v>NC</x:v>
      </x:c>
      <x:c r="E10" s="110" t="str">
        <x:v>D</x:v>
      </x:c>
      <x:c r="F10" s="110" t="str">
        <x:v>R_gate</x:v>
      </x:c>
      <x:c r="G10" s="110" t="str">
        <x:v>Higher-level synthesis cannot proceed when integrity/prerequisite conditions fail</x:v>
      </x:c>
      <x:c r="H10" s="110" t="str">
        <x:v>Null remains absence of documented evidence and cannot silently become zero</x:v>
      </x:c>
      <x:c r="I10" s="110" t="str">
        <x:v>Audit compares three scales and documents edge effects and overlap limitations</x:v>
      </x:c>
      <x:c r="J10" s="110" t="str">
        <x:v>Blocked synthesis ≠ absence of geological phenomenon</x:v>
      </x:c>
      <x:c r="K10" s="110" t="str">
        <x:v>Shows explicit coexistence of aggregative base indices and a non-compensatory synthesis gate</x:v>
      </x:c>
      <x:c r="L10" s="110" t="str">
        <x:v>Repository URL withheld for double-blind review; repository/path: atlas-geocientifico-ms/blob/main/docs/documentos/auditoria-sete-dimensoes.html</x:v>
      </x:c>
      <x:c r="M10" s="110" t="str">
        <x:v>Strongest direct evidence of hybrid logic within a single application</x:v>
      </x:c>
      <x:c r="O10" t="str">
        <x:v>T</x:v>
      </x:c>
      <x:c r="P10" t="n">
        <x:f>COUNTIFS($D$6:$D$19,O10,$E$6:$E$19,"D")</x:f>
        <x:v>3</x:v>
      </x:c>
    </x:row>
    <x:row r="11">
      <x:c r="A11" s="110" t="str">
        <x:v>ITA ARANDU MS</x:v>
      </x:c>
      <x:c r="B11" s="110" t="str">
        <x:v>PIG prerequisite chain</x:v>
      </x:c>
      <x:c r="C11" s="110" t="str">
        <x:v>PIG blocked until VCG is certified and independent complexity/Pareto rules are defined</x:v>
      </x:c>
      <x:c r="D11" s="110" t="str">
        <x:v>NC</x:v>
      </x:c>
      <x:c r="E11" s="110" t="str">
        <x:v>D</x:v>
      </x:c>
      <x:c r="F11" s="110" t="str">
        <x:v>R_gate</x:v>
      </x:c>
      <x:c r="G11" s="110" t="str">
        <x:v>Prerequisite products/rules are non-compensatory</x:v>
      </x:c>
      <x:c r="H11" s="110" t="str">
        <x:v>Explicit null policy and minimum eligibility must be defined before synthesis</x:v>
      </x:c>
      <x:c r="I11" s="110" t="str">
        <x:v>Support differences remain explicit; no scale chosen as universally optimal</x:v>
      </x:c>
      <x:c r="J11" s="110" t="str">
        <x:v>Priority synthesis cannot be inferred from incomplete prerequisite products</x:v>
      </x:c>
      <x:c r="K11" s="110" t="str">
        <x:v>Back-transfer from specialized logic is consistent with iterative development</x:v>
      </x:c>
      <x:c r="L11" s="110" t="str">
        <x:v>Repository URL withheld for double-blind review; repository/path: atlas-geocientifico-ms/blob/main/docs/documentos/auditoria-sete-dimensoes.html</x:v>
      </x:c>
      <x:c r="M11" s="110" t="str">
        <x:v>Direct prerequisite-gate case</x:v>
      </x:c>
    </x:row>
    <x:row r="12">
      <x:c r="A12" s="111" t="str">
        <x:v>ITA ARANDU MS</x:v>
      </x:c>
      <x:c r="B12" s="111" t="str">
        <x:v>Multiscale direct recalculation</x:v>
      </x:c>
      <x:c r="C12" s="111" t="str">
        <x:v>Base indices recalculated independently at 250/500/1000 km²</x:v>
      </x:c>
      <x:c r="D12" s="111" t="str">
        <x:v>T</x:v>
      </x:c>
      <x:c r="E12" s="111" t="str">
        <x:v>D</x:v>
      </x:c>
      <x:c r="F12" s="111" t="str">
        <x:v>R_ctx / robustness</x:v>
      </x:c>
      <x:c r="G12" s="111" t="str">
        <x:v>Scale is treated as a scenario of evidential support rather than an averaging afterthought</x:v>
      </x:c>
      <x:c r="H12" s="111" t="str">
        <x:v>Null coverage differs by support and remains explicit</x:v>
      </x:c>
      <x:c r="I12" s="111" t="str">
        <x:v>Each scale uses its own effective frozen geometry</x:v>
      </x:c>
      <x:c r="J12" s="111" t="str">
        <x:v>Coarser support does not automatically mean better knowledge</x:v>
      </x:c>
      <x:c r="K12" s="111" t="str">
        <x:v>Provides the multiscale robustness strand later made stronger in PIH</x:v>
      </x:c>
      <x:c r="L12" s="111" t="str">
        <x:v>Repository URL withheld for double-blind review; repository/path: atlas-geocientifico-ms/blob/main/C02_GEOMETRIA_COMPUTACIONAL.md</x:v>
      </x:c>
      <x:c r="M12" s="111" t="str">
        <x:v>Direct spatial-support mechanism</x:v>
      </x:c>
      <x:c r="O12" s="103" t="str">
        <x:v>Evidence status</x:v>
      </x:c>
      <x:c r="P12" s="103" t="str">
        <x:v>Count</x:v>
      </x:c>
    </x:row>
    <x:row r="13">
      <x:c r="A13" s="110" t="str">
        <x:v>PAG-ETR MS</x:v>
      </x:c>
      <x:c r="B13" s="110" t="str">
        <x:v>M2/M4 model evaluability</x:v>
      </x:c>
      <x:c r="C13" s="110" t="str">
        <x:v>Logical/categorical model; no weighted sum, no 0–100 score, no deposit probability</x:v>
      </x:c>
      <x:c r="D13" s="110" t="str">
        <x:v>NC</x:v>
      </x:c>
      <x:c r="E13" s="110" t="str">
        <x:v>D</x:v>
      </x:c>
      <x:c r="F13" s="110" t="str">
        <x:v>R_gate</x:v>
      </x:c>
      <x:c r="G13" s="110" t="str">
        <x:v>Diagnostic requirements operate as model gates</x:v>
      </x:c>
      <x:c r="H13" s="110" t="str">
        <x:v>SEM_DADO ≠ 0; context accumulation does not replace diagnostic requirement</x:v>
      </x:c>
      <x:c r="I13" s="110" t="str">
        <x:v>250/500/1000 km² evaluated independently</x:v>
      </x:c>
      <x:c r="J13" s="110" t="str">
        <x:v>Open/evaluable ≠ prospectivity, deposit, resource, reserve or field authorization</x:v>
      </x:c>
      <x:c r="K13" s="110" t="str">
        <x:v>Specializes non-compensatory logic extracted from the broader atlas</x:v>
      </x:c>
      <x:c r="L13" s="110" t="str">
        <x:v>Repository URL withheld for double-blind review; repository/path: pag-etr-ms/blob/main/README.md</x:v>
      </x:c>
      <x:c r="M13" s="110" t="str">
        <x:v>Canonical gate-dominant case</x:v>
      </x:c>
      <x:c r="O13" t="str">
        <x:v>D</x:v>
      </x:c>
      <x:c r="P13" t="n">
        <x:f>COUNTIF($E$6:$E$19,O13)</x:f>
        <x:v>14</x:v>
      </x:c>
    </x:row>
    <x:row r="14">
      <x:c r="A14" s="111" t="str">
        <x:v>PAG-ETR MS</x:v>
      </x:c>
      <x:c r="B14" s="111" t="str">
        <x:v>Frozen reproducibility chain</x:v>
      </x:c>
      <x:c r="C14" s="111" t="str">
        <x:v>Frozen source → derived M2/M4 evidence → independent intersection → frozen/reproduced hex IDs</x:v>
      </x:c>
      <x:c r="D14" s="111" t="str">
        <x:v>T</x:v>
      </x:c>
      <x:c r="E14" s="111" t="str">
        <x:v>D</x:v>
      </x:c>
      <x:c r="F14" s="111" t="str">
        <x:v>Provenance</x:v>
      </x:c>
      <x:c r="G14" s="111" t="str">
        <x:v>Separates methodological logic from source-to-output reproducibility</x:v>
      </x:c>
      <x:c r="H14" s="111" t="str">
        <x:v>Missing stages/models remain documented rather than reconstructed by inference</x:v>
      </x:c>
      <x:c r="I14" s="111" t="str">
        <x:v>Exact cell IDs validated at each of three supports</x:v>
      </x:c>
      <x:c r="J14" s="111" t="str">
        <x:v>Reproduction ≠ validation of mineral occurrence</x:v>
      </x:c>
      <x:c r="K14" s="111" t="str">
        <x:v>Strongest end-to-end reproducibility reference case</x:v>
      </x:c>
      <x:c r="L14" s="111" t="str">
        <x:v>Repository URL withheld for double-blind review; repository/path: pag-etr-ms/blob/main/README.md</x:v>
      </x:c>
      <x:c r="M14" s="111" t="str">
        <x:v>Direct provenance/reproducibility strand</x:v>
      </x:c>
      <x:c r="O14" t="str">
        <x:v>P</x:v>
      </x:c>
      <x:c r="P14" t="n">
        <x:f>COUNTIF($E$6:$E$19,O14)</x:f>
        <x:v>0</x:v>
      </x:c>
    </x:row>
    <x:row r="15">
      <x:c r="A15" s="110" t="str">
        <x:v>PIH-MS</x:v>
      </x:c>
      <x:c r="B15" s="110" t="str">
        <x:v>Q01–Q05 context portal</x:v>
      </x:c>
      <x:c r="C15" s="110" t="str">
        <x:v>Portal is conjunction; all listed requirements must coexist in the same well</x:v>
      </x:c>
      <x:c r="D15" s="110" t="str">
        <x:v>NC</x:v>
      </x:c>
      <x:c r="E15" s="110" t="str">
        <x:v>D</x:v>
      </x:c>
      <x:c r="F15" s="110" t="str">
        <x:v>R_gate</x:v>
      </x:c>
      <x:c r="G15" s="110" t="str">
        <x:v>Purpose-specific minimum contextual gate before partial interpretation</x:v>
      </x:c>
      <x:c r="H15" s="110" t="str">
        <x:v>Direct evidence without context remains insufficient for portal passage</x:v>
      </x:c>
      <x:c r="I15" s="110" t="str">
        <x:v>Evaluated across five scales and four origins in the broader design</x:v>
      </x:c>
      <x:c r="J15" s="110" t="str">
        <x:v>Passing portal ≠ complete documentary sufficiency or aquifer potential</x:v>
      </x:c>
      <x:c r="K15" s="110" t="str">
        <x:v>Generalizes non-compensatory gates to hydrogeological evidence sufficiency</x:v>
      </x:c>
      <x:c r="L15" s="110" t="str">
        <x:v>Repository URL withheld for double-blind review; repository/path: pih-ms/blob/main/methodology/PRIORIDADE_INVESTIGACAO_POR_PERGUNTA_V1.md</x:v>
      </x:c>
      <x:c r="M15" s="110" t="str">
        <x:v>Direct conjunctive gate case</x:v>
      </x:c>
    </x:row>
    <x:row r="16">
      <x:c r="A16" s="110" t="str">
        <x:v>PIH-MS</x:v>
      </x:c>
      <x:c r="B16" s="110" t="str">
        <x:v>Research-priority stages P1–P5</x:v>
      </x:c>
      <x:c r="C16" s="110" t="str">
        <x:v>UNKNOWN → P1 → P2 → P3 → P4 → P5 based on progressively satisfied documentary conditions</x:v>
      </x:c>
      <x:c r="D16" s="110" t="str">
        <x:v>NC</x:v>
      </x:c>
      <x:c r="E16" s="110" t="str">
        <x:v>D</x:v>
      </x:c>
      <x:c r="F16" s="110" t="str">
        <x:v>R_gate + B</x:v>
      </x:c>
      <x:c r="G16" s="110" t="str">
        <x:v>Stages encode which documentary gate remains unresolved; no question compensates another</x:v>
      </x:c>
      <x:c r="H16" s="110" t="str">
        <x:v>UNKNOWN is not priority and not zero</x:v>
      </x:c>
      <x:c r="I16" s="110" t="str">
        <x:v>Mapped per cell/question and compared across scale/origin separately</x:v>
      </x:c>
      <x:c r="J16" s="110" t="str">
        <x:v>Priority class ≠ aquifer potential; P5 ≠ absolute or final knowledge</x:v>
      </x:c>
      <x:c r="K16" s="110" t="str">
        <x:v>Transforms bottlenecks into research-planning states</x:v>
      </x:c>
      <x:c r="L16" s="110" t="str">
        <x:v>Repository URL withheld for double-blind review; repository/path: pih-ms/blob/main/methodology/PRIORIDADE_INVESTIGACAO_POR_PERGUNTA_V1.md</x:v>
      </x:c>
      <x:c r="M16" s="110" t="str">
        <x:v>Direct bottleneck-to-action case</x:v>
      </x:c>
    </x:row>
    <x:row r="17">
      <x:c r="A17" s="110" t="str">
        <x:v>PIH-MS</x:v>
      </x:c>
      <x:c r="B17" s="110" t="str">
        <x:v>No integrated score</x:v>
      </x:c>
      <x:c r="C17" s="110" t="str">
        <x:v>No weight, score, AHP, interpolation, prediction or integrated priority</x:v>
      </x:c>
      <x:c r="D17" s="110" t="str">
        <x:v>NC</x:v>
      </x:c>
      <x:c r="E17" s="110" t="str">
        <x:v>D</x:v>
      </x:c>
      <x:c r="F17" s="110" t="str">
        <x:v>R_gate</x:v>
      </x:c>
      <x:c r="G17" s="110" t="str">
        <x:v>Prevents compensation across distinct scientific questions</x:v>
      </x:c>
      <x:c r="H17" s="110" t="str">
        <x:v>Partial evidence remains visible rather than averaged away</x:v>
      </x:c>
      <x:c r="I17" s="110" t="str">
        <x:v>Scale/origin sensitivity is analyzed separately from scientific sufficiency</x:v>
      </x:c>
      <x:c r="J17" s="110" t="str">
        <x:v>Hydrogeological evidence sufficiency ≠ groundwater potential/productivity</x:v>
      </x:c>
      <x:c r="K17" s="110" t="str">
        <x:v>Confirms that the gate-dominant branch is deliberate, not an implementation omission</x:v>
      </x:c>
      <x:c r="L17" s="110" t="str">
        <x:v>Repository URL withheld for double-blind review; repository/path: pih-ms/blob/main/README.md</x:v>
      </x:c>
      <x:c r="M17" s="110" t="str">
        <x:v>Explicit rejection of compensatory integration at this level</x:v>
      </x:c>
    </x:row>
    <x:row r="18">
      <x:c r="A18" s="111" t="str">
        <x:v>PIH-MS</x:v>
      </x:c>
      <x:c r="B18" s="111" t="str">
        <x:v>Stability and origin sensitivity</x:v>
      </x:c>
      <x:c r="C18" s="111" t="str">
        <x:v>Five scales × four origins; exact agreement, Jaccard, discordance and Spearman; fixed support points</x:v>
      </x:c>
      <x:c r="D18" s="111" t="str">
        <x:v>T</x:v>
      </x:c>
      <x:c r="E18" s="111" t="str">
        <x:v>D</x:v>
      </x:c>
      <x:c r="F18" s="111" t="str">
        <x:v>R_ctx / robustness</x:v>
      </x:c>
      <x:c r="G18" s="111" t="str">
        <x:v>Tests whether evidential states depend on support or tessellation</x:v>
      </x:c>
      <x:c r="H18" s="111" t="str">
        <x:v>Unobservable states and blockers remain categorical; no artificial score introduced</x:v>
      </x:c>
      <x:c r="I18" s="111" t="str">
        <x:v>Same wells/support points; only tessellation origin changes</x:v>
      </x:c>
      <x:c r="J18" s="111" t="str">
        <x:v>Agreement ≠ quality; stability ≠ representativity</x:v>
      </x:c>
      <x:c r="K18" s="111" t="str">
        <x:v>Most explicit robustness implementation in the family</x:v>
      </x:c>
      <x:c r="L18" s="111" t="str">
        <x:v>Repository URL withheld for double-blind review; repository/path: pih-ms/blob/main/methodology/ESTABILIDADE_SENSIBILIDADE_V1.md</x:v>
      </x:c>
      <x:c r="M18" s="111" t="str">
        <x:v>Direct MAUP/support-sensitivity case</x:v>
      </x:c>
    </x:row>
    <x:row r="19">
      <x:c r="A19" s="110" t="str">
        <x:v>PIH-MS</x:v>
      </x:c>
      <x:c r="B19" s="110" t="str">
        <x:v>Blocker persistence</x:v>
      </x:c>
      <x:c r="C19" s="110" t="str">
        <x:v>39 critical requirements evaluated without weights; blocker occurrence/completeness/persistence reported</x:v>
      </x:c>
      <x:c r="D19" s="110" t="str">
        <x:v>NC</x:v>
      </x:c>
      <x:c r="E19" s="110" t="str">
        <x:v>D</x:v>
      </x:c>
      <x:c r="F19" s="110" t="str">
        <x:v>B + robustness</x:v>
      </x:c>
      <x:c r="G19" s="110" t="str">
        <x:v>Exact unresolved requirements are retained rather than collapsed into a composite score</x:v>
      </x:c>
      <x:c r="H19" s="110" t="str">
        <x:v>Non-demonstrated requirement describes the acquired set, not physical absence in territory</x:v>
      </x:c>
      <x:c r="I19" s="110" t="str">
        <x:v>Persistence computed only for observable support-scale combinations</x:v>
      </x:c>
      <x:c r="J19" s="110" t="str">
        <x:v>Persistent blocker ≠ impossibility of acquiring the information</x:v>
      </x:c>
      <x:c r="K19" s="110" t="str">
        <x:v>Makes the diagnostic bottleneck concept operational</x:v>
      </x:c>
      <x:c r="L19" s="110" t="str">
        <x:v>Repository URL withheld for double-blind review; repository/path: pih-ms/blob/main/methodology/ESTABILIDADE_SENSIBILIDADE_V1.md</x:v>
      </x:c>
      <x:c r="M19" s="110" t="str">
        <x:v>Direct bottleneck-preservation case</x:v>
      </x:c>
    </x:row>
    <x:row r="22">
      <x:c r="A22" s="106" t="str">
        <x:v>Synthesis supported by the audit</x:v>
      </x:c>
      <x:c r="B22" s="106"/>
      <x:c r="C22" s="106"/>
      <x:c r="D22" s="106"/>
      <x:c r="E22" s="106"/>
      <x:c r="F22" s="106"/>
      <x:c r="G22" s="106"/>
      <x:c r="H22" s="106"/>
      <x:c r="I22" s="106"/>
      <x:c r="J22" s="106"/>
      <x:c r="K22" s="106"/>
      <x:c r="L22" s="106"/>
      <x:c r="M22" s="106"/>
    </x:row>
    <x:row r="23">
      <x:c r="A23" s="18" t="str">
        <x:v>Finding</x:v>
      </x:c>
      <x:c r="B23" s="18" t="str">
        <x:v>Supported statement</x:v>
      </x:c>
    </x:row>
    <x:row r="24">
      <x:c r="A24" s="18" t="str">
        <x:v>F1</x:v>
      </x:c>
      <x:c r="B24" s="18" t="str">
        <x:v>The four systems do not share one formula. They share an architecture that separates aggregation, critical gating and contextual/transversal constraints.</x:v>
      </x:c>
    </x:row>
    <x:row r="25">
      <x:c r="A25" s="18" t="str">
        <x:v>F2</x:v>
      </x:c>
      <x:c r="B25" s="18" t="str">
        <x:v>Compensatory reasoning is directly documented in JOAJU (IPG, ICD) and semi-compensatory aggregation in ITA (ICP).</x:v>
      </x:c>
    </x:row>
    <x:row r="26">
      <x:c r="A26" s="18" t="str">
        <x:v>F3</x:v>
      </x:c>
      <x:c r="B26" s="18" t="str">
        <x:v>Non-compensatory gating is directly documented in ITA synthesis eligibility, PAG model evaluability and PIH question-specific contracts.</x:v>
      </x:c>
    </x:row>
    <x:row r="27">
      <x:c r="A27" s="18" t="str">
        <x:v>F4</x:v>
      </x:c>
      <x:c r="B27" s="18" t="str">
        <x:v>Missing evidence is repeatedly preserved rather than silently converted to zero.</x:v>
      </x:c>
    </x:row>
    <x:row r="28">
      <x:c r="A28" s="18" t="str">
        <x:v>F5</x:v>
      </x:c>
      <x:c r="B28" s="18" t="str">
        <x:v>Spatial support is not a passive display parameter: independent scales/origins can alter evidential states without adding new observations.</x:v>
      </x:c>
    </x:row>
    <x:row r="29">
      <x:c r="A29" s="18" t="str">
        <x:v>F6</x:v>
      </x:c>
      <x:c r="B29" s="18" t="str">
        <x:v>The claim firewall is not cosmetic. Each application explicitly limits stronger interpretations such as prospectivity, aquifer potential, authorization or substantive truth.</x:v>
      </x:c>
    </x:row>
    <x:row r="30">
      <x:c r="A30" s="18" t="str">
        <x:v>F7</x:v>
      </x:c>
      <x:c r="B30" s="18" t="str">
        <x:v>The strongest family-level novelty claim is therefore integrative: a reusable evidence-contract architecture governing when trade-offs are allowed and when they are forbidden.</x:v>
      </x:c>
    </x:row>
  </x:sheetData>
  <x:mergeCells>
    <x:mergeCell ref="A1:M1"/>
    <x:mergeCell ref="A2:M2"/>
    <x:mergeCell ref="A3:M3"/>
    <x:mergeCell ref="A22:M2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8" hidden="0" customWidth="1"/>
    <x:col min="4" max="4" width="21" hidden="0" customWidth="1"/>
    <x:col min="5" max="5" width="18" hidden="0" customWidth="1"/>
    <x:col min="6" max="6" width="17" hidden="0" customWidth="1"/>
    <x:col min="7" max="7" width="27" hidden="0" customWidth="1"/>
    <x:col min="8" max="8" width="27" hidden="0" customWidth="1"/>
    <x:col min="9" max="9" width="17" hidden="0" customWidth="1"/>
    <x:col min="10" max="10" width="22" hidden="0" customWidth="1"/>
    <x:col min="11" max="11" width="48" hidden="0" customWidth="1"/>
  </x:cols>
  <x:sheetData>
    <x:row r="1">
      <x:c r="A1" s="116" t="str">
        <x:v>T-B — Generic-contract reproduction of the real PAG-ETR M2/M4 spatial pilot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</x:row>
    <x:row r="2">
      <x:c r="A2" s="120" t="str">
        <x:v>Test basis: frozen PAG-ETR cell outputs at 250, 500 and 1,000 km². Native states were re-expressed without changing spatial assignment: MODELO_ABERTO → SUPPORTED; NAO_AVALIAVEL → UNKNOWN. A critical ANY(M2, M4) requirement was then evaluated by the generic target-state logic.</x:v>
      </x:c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</x:row>
    <x:row r="3">
      <x:c r="A3" s="120" t="str">
        <x:v>Exact reference-engine run: evidence_sufficiency_engine.py passed 8 unit tests and reproduced all 2,759 frozen PAG cells. Across overall, M2-specific and M4-specific outputs this corresponds to 8,277 cell-output comparisons, with zero discrepancies.</x:v>
      </x:c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</x:row>
    <x:row r="5">
      <x:c r="A5" s="125" t="str">
        <x:v>Scale</x:v>
      </x:c>
      <x:c r="B5" s="125" t="str">
        <x:v>Cells</x:v>
      </x:c>
      <x:c r="C5" s="125" t="str">
        <x:v>Native overall open</x:v>
      </x:c>
      <x:c r="D5" s="125" t="str">
        <x:v>Engine SUPPORTABLE overall</x:v>
      </x:c>
      <x:c r="E5" s="125" t="str">
        <x:v>Overall agreement n</x:v>
      </x:c>
      <x:c r="F5" s="125" t="str">
        <x:v>Overall agreement %</x:v>
      </x:c>
      <x:c r="G5" s="125" t="str">
        <x:v>Native M2 open / Engine M2 SUPPORTABLE</x:v>
      </x:c>
      <x:c r="H5" s="125" t="str">
        <x:v>Native M4 open / Engine M4 SUPPORTABLE</x:v>
      </x:c>
      <x:c r="I5" s="125" t="str">
        <x:v>Total discrepancies</x:v>
      </x:c>
      <x:c r="J5" s="125" t="str">
        <x:v>Engine NON_EVALUABLE overall</x:v>
      </x:c>
      <x:c r="K5" s="125" t="str">
        <x:v>Interpretation</x:v>
      </x:c>
    </x:row>
    <x:row r="6">
      <x:c r="A6" s="45" t="str">
        <x:v>250 km²</x:v>
      </x:c>
      <x:c r="B6" s="45" t="n">
        <x:v>1554</x:v>
      </x:c>
      <x:c r="C6" s="45" t="n">
        <x:v>49</x:v>
      </x:c>
      <x:c r="D6" s="45" t="n">
        <x:v>49</x:v>
      </x:c>
      <x:c r="E6" s="45" t="n">
        <x:v>1554</x:v>
      </x:c>
      <x:c r="F6" s="126" t="n">
        <x:v>1</x:v>
      </x:c>
      <x:c r="G6" s="45" t="str">
        <x:v>3 / 3</x:v>
      </x:c>
      <x:c r="H6" s="45" t="str">
        <x:v>46 / 46</x:v>
      </x:c>
      <x:c r="I6" s="45" t="n">
        <x:v>0</x:v>
      </x:c>
      <x:c r="J6" s="45" t="n">
        <x:v>1505</x:v>
      </x:c>
      <x:c r="K6" s="45" t="str">
        <x:v>Exact reproduction of native open/evaluable cells under the generic contract.</x:v>
      </x:c>
    </x:row>
    <x:row r="7">
      <x:c r="A7" s="45" t="str">
        <x:v>500 km²</x:v>
      </x:c>
      <x:c r="B7" s="45" t="n">
        <x:v>793</x:v>
      </x:c>
      <x:c r="C7" s="45" t="n">
        <x:v>37</x:v>
      </x:c>
      <x:c r="D7" s="45" t="n">
        <x:v>37</x:v>
      </x:c>
      <x:c r="E7" s="45" t="n">
        <x:v>793</x:v>
      </x:c>
      <x:c r="F7" s="126" t="n">
        <x:v>1</x:v>
      </x:c>
      <x:c r="G7" s="45" t="str">
        <x:v>3 / 3</x:v>
      </x:c>
      <x:c r="H7" s="45" t="str">
        <x:v>34 / 34</x:v>
      </x:c>
      <x:c r="I7" s="45" t="n">
        <x:v>0</x:v>
      </x:c>
      <x:c r="J7" s="45" t="n">
        <x:v>756</x:v>
      </x:c>
      <x:c r="K7" s="45" t="str">
        <x:v>Exact reproduction of native open/evaluable cells under the generic contract.</x:v>
      </x:c>
    </x:row>
    <x:row r="8">
      <x:c r="A8" s="45" t="str">
        <x:v>1,000 km²</x:v>
      </x:c>
      <x:c r="B8" s="45" t="n">
        <x:v>412</x:v>
      </x:c>
      <x:c r="C8" s="45" t="n">
        <x:v>24</x:v>
      </x:c>
      <x:c r="D8" s="45" t="n">
        <x:v>24</x:v>
      </x:c>
      <x:c r="E8" s="45" t="n">
        <x:v>412</x:v>
      </x:c>
      <x:c r="F8" s="126" t="n">
        <x:v>1</x:v>
      </x:c>
      <x:c r="G8" s="45" t="str">
        <x:v>2 / 2</x:v>
      </x:c>
      <x:c r="H8" s="45" t="str">
        <x:v>22 / 22</x:v>
      </x:c>
      <x:c r="I8" s="45" t="n">
        <x:v>0</x:v>
      </x:c>
      <x:c r="J8" s="45" t="n">
        <x:v>388</x:v>
      </x:c>
      <x:c r="K8" s="45" t="str">
        <x:v>Exact reproduction of native open/evaluable cells under the generic contract.</x:v>
      </x:c>
    </x:row>
    <x:row r="9">
      <x:c r="A9" s="45" t="str">
        <x:v>TOTAL</x:v>
      </x:c>
      <x:c r="B9" s="45" t="n">
        <x:v>2759</x:v>
      </x:c>
      <x:c r="C9" s="45" t="n">
        <x:v>110</x:v>
      </x:c>
      <x:c r="D9" s="45" t="n">
        <x:v>110</x:v>
      </x:c>
      <x:c r="E9" s="45" t="n">
        <x:v>2759</x:v>
      </x:c>
      <x:c r="F9" s="126" t="n">
        <x:v>1</x:v>
      </x:c>
      <x:c r="G9" s="45" t="str">
        <x:v>8 / 8</x:v>
      </x:c>
      <x:c r="H9" s="45" t="str">
        <x:v>102 / 102</x:v>
      </x:c>
      <x:c r="I9" s="45" t="n">
        <x:v>0</x:v>
      </x:c>
      <x:c r="J9" s="45" t="n">
        <x:v>2649</x:v>
      </x:c>
      <x:c r="K9" s="45" t="str">
        <x:v>100% agreement across all cells; 8,277 cell-output comparisons when overall, M2 and M4 are counted separately.</x:v>
      </x:c>
    </x:row>
    <x:row r="12">
      <x:c r="A12" s="129" t="str">
        <x:v>Re-expressed PAG-ETR contract used in T-B</x:v>
      </x:c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</x:row>
    <x:row r="13">
      <x:c r="A13" s="125" t="str">
        <x:v>Object</x:v>
      </x:c>
      <x:c r="B13" s="125" t="str">
        <x:v>Specification</x:v>
      </x:c>
      <x:c r="C13" s="125" t="str">
        <x:v>Rationale</x:v>
      </x:c>
    </x:row>
    <x:row r="14">
      <x:c r="A14" s="18" t="str">
        <x:v>Target T</x:v>
      </x:c>
      <x:c r="B14" s="18" t="str">
        <x:v>PAG-ETR reproduced spatial pilot model openness</x:v>
      </x:c>
      <x:c r="C14" s="18" t="str">
        <x:v>Tests evaluability/model openness, not prospectivity.</x:v>
      </x:c>
    </x:row>
    <x:row r="15">
      <x:c r="A15" s="18" t="str">
        <x:v>Evidence M2</x:v>
      </x:c>
      <x:c r="B15" s="18" t="str">
        <x:v>MODELO_ABERTO → SUPPORTED; NAO_AVALIAVEL → UNKNOWN</x:v>
      </x:c>
      <x:c r="C15" s="18" t="str">
        <x:v>Preserves the native distinction; no false negative is invented.</x:v>
      </x:c>
    </x:row>
    <x:row r="16">
      <x:c r="A16" s="18" t="str">
        <x:v>Evidence M4</x:v>
      </x:c>
      <x:c r="B16" s="18" t="str">
        <x:v>MODELO_ABERTO → SUPPORTED; NAO_AVALIAVEL → UNKNOWN</x:v>
      </x:c>
      <x:c r="C16" s="18" t="str">
        <x:v>Same semantic mapping as M2.</x:v>
      </x:c>
    </x:row>
    <x:row r="17">
      <x:c r="A17" s="18" t="str">
        <x:v>Critical requirement r_open</x:v>
      </x:c>
      <x:c r="B17" s="18" t="str">
        <x:v>ANY(M2, M4), accepted state = SUPPORTED</x:v>
      </x:c>
      <x:c r="C17" s="18" t="str">
        <x:v>A cell is natively open when M2 OR M4 is open.</x:v>
      </x:c>
    </x:row>
    <x:row r="18">
      <x:c r="A18" s="18" t="str">
        <x:v>Requirement result</x:v>
      </x:c>
      <x:c r="B18" s="18" t="str">
        <x:v>PASS if any accepted evidence is SUPPORTED; otherwise UNKNOWN in this pilot</x:v>
      </x:c>
      <x:c r="C18" s="18" t="str">
        <x:v>The frozen pilot contains only MODELO_ABERTO and NAO_AVALIAVEL.</x:v>
      </x:c>
    </x:row>
    <x:row r="19">
      <x:c r="A19" s="18" t="str">
        <x:v>Target state</x:v>
      </x:c>
      <x:c r="B19" s="18" t="str">
        <x:v>PASS → SUPPORTABLE; UNKNOWN → NON_EVALUABLE</x:v>
      </x:c>
      <x:c r="C19" s="18" t="str">
        <x:v>No VERIFIED_NEGATIVE, CONFLICT, INVALID or NOT_APPLICABLE states occur in this frozen pilot.</x:v>
      </x:c>
    </x:row>
    <x:row r="20">
      <x:c r="A20" s="18" t="str">
        <x:v>Claim firewall</x:v>
      </x:c>
      <x:c r="B20" s="18" t="str">
        <x:v>SUPPORTABLE ≠ mineral prospectivity / deposit / resource / reserve / field authorization</x:v>
      </x:c>
      <x:c r="C20" s="18" t="str">
        <x:v>Retains the native PAG-ETR interpretation boundary.</x:v>
      </x:c>
    </x:row>
    <x:row r="23">
      <x:c r="A23" s="129" t="str">
        <x:v>Audit provenance</x:v>
      </x:c>
      <x:c r="B23" s="129"/>
      <x:c r="C23" s="129"/>
      <x:c r="D23" s="129"/>
      <x:c r="E23" s="129"/>
      <x:c r="F23" s="129"/>
      <x:c r="G23" s="129"/>
      <x:c r="H23" s="129"/>
      <x:c r="I23" s="129"/>
      <x:c r="J23" s="129"/>
      <x:c r="K23" s="129"/>
    </x:row>
    <x:row r="24">
      <x:c r="A24" s="125" t="str">
        <x:v>Item</x:v>
      </x:c>
      <x:c r="B24" s="125" t="str">
        <x:v>Value</x:v>
      </x:c>
    </x:row>
    <x:row r="25">
      <x:c r="A25" t="str">
        <x:v>Frozen 250 km² blob SHA</x:v>
      </x:c>
      <x:c r="B25" t="str">
        <x:v>8a41e582eb5a2f25e7d61d18d5563771bb59a3f7</x:v>
      </x:c>
    </x:row>
    <x:row r="26">
      <x:c r="A26" t="str">
        <x:v>Frozen 500 km² blob SHA</x:v>
      </x:c>
      <x:c r="B26" t="str">
        <x:v>53a7cebcb12225820301dab98b42262eafbacfad</x:v>
      </x:c>
    </x:row>
    <x:row r="27">
      <x:c r="A27" t="str">
        <x:v>Frozen 1,000 km² blob SHA</x:v>
      </x:c>
      <x:c r="B27" t="str">
        <x:v>0d4b3935e9acd9bb07976f8d0009ecf0509b3fa6</x:v>
      </x:c>
    </x:row>
    <x:row r="28">
      <x:c r="A28" t="str">
        <x:v>Native reproduction script SHA</x:v>
      </x:c>
      <x:c r="B28" t="str">
        <x:v>3071e3d736570f75a271a974f9d817bfd1883190</x:v>
      </x:c>
    </x:row>
    <x:row r="29">
      <x:c r="A29" t="str">
        <x:v>Frozen validation script SHA</x:v>
      </x:c>
      <x:c r="B29" t="str">
        <x:v>6f2e44028d9d9572e82848b7795ab29a0359b10a</x:v>
      </x:c>
    </x:row>
    <x:row r="30">
      <x:c r="A30" t="str">
        <x:v>Native reproduction summary SHA</x:v>
      </x:c>
      <x:c r="B30" t="str">
        <x:v>86f9cef1dd1373b31037090672ee16a2971e1bef</x:v>
      </x:c>
    </x:row>
    <x:row r="31">
      <x:c r="A31" t="str">
        <x:v>Repository</x:v>
      </x:c>
      <x:c r="B31" t="str">
        <x:v>Repository URL withheld for double-blind review; repository/path: pag-etr-ms</x:v>
      </x:c>
    </x:row>
    <x:row r="32">
      <x:c r="A32" t="str">
        <x:v>Exact engine package</x:v>
      </x:c>
      <x:c r="B32" t="str">
        <x:v>TGIS_reference_engine_v1.zip</x:v>
      </x:c>
    </x:row>
    <x:row r="33">
      <x:c r="A33" t="str">
        <x:v>Engine module</x:v>
      </x:c>
      <x:c r="B33" t="str">
        <x:v>evidence_sufficiency_engine.py</x:v>
      </x:c>
    </x:row>
    <x:row r="34">
      <x:c r="A34" t="str">
        <x:v>Engine unit tests</x:v>
      </x:c>
      <x:c r="B34" t="str">
        <x:v>8/8 PASS</x:v>
      </x:c>
    </x:row>
    <x:row r="35">
      <x:c r="A35" t="str">
        <x:v>Generated report</x:v>
      </x:c>
      <x:c r="B35" t="str">
        <x:v>pag_tb_td_report.json</x:v>
      </x:c>
    </x:row>
  </x:sheetData>
  <x:mergeCells>
    <x:mergeCell ref="A1:K1"/>
    <x:mergeCell ref="A2:K2"/>
    <x:mergeCell ref="A3:K3"/>
    <x:mergeCell ref="A12:K12"/>
    <x:mergeCell ref="A23:K2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7" hidden="0" customWidth="1"/>
    <x:col min="5" max="5" width="22" hidden="0" customWidth="1"/>
    <x:col min="6" max="6" width="10" hidden="0" customWidth="1"/>
    <x:col min="7" max="7" width="10" hidden="0" customWidth="1"/>
    <x:col min="8" max="8" width="25" hidden="0" customWidth="1"/>
    <x:col min="9" max="9" width="48" hidden="0" customWidth="1"/>
  </x:cols>
  <x:sheetData>
    <x:row r="1">
      <x:c r="A1" s="116" t="str">
        <x:v>PAG-ETR support effect — corrected interpretation of Table 5</x:v>
      </x:c>
      <x:c r="B1" s="116"/>
      <x:c r="C1" s="116"/>
      <x:c r="D1" s="116"/>
      <x:c r="E1" s="116"/>
      <x:c r="F1" s="116"/>
      <x:c r="G1" s="116"/>
      <x:c r="H1" s="116"/>
      <x:c r="I1" s="116"/>
    </x:row>
    <x:row r="2">
      <x:c r="A2" s="120" t="str">
        <x:v>The absolute number of open cells decreases as nominal cell size increases, but the proportion and nominal open area increase. This is consistent with a spatial-support/aggregation effect and should not be described as improved knowledge.</x:v>
      </x:c>
      <x:c r="B2" s="120"/>
      <x:c r="C2" s="120"/>
      <x:c r="D2" s="120"/>
      <x:c r="E2" s="120"/>
      <x:c r="F2" s="120"/>
      <x:c r="G2" s="120"/>
      <x:c r="H2" s="120"/>
      <x:c r="I2" s="120"/>
    </x:row>
    <x:row r="4">
      <x:c r="A4" s="125" t="str">
        <x:v>Nominal cell area</x:v>
      </x:c>
      <x:c r="B4" s="125" t="str">
        <x:v>Total cells</x:v>
      </x:c>
      <x:c r="C4" s="125" t="str">
        <x:v>Open cells</x:v>
      </x:c>
      <x:c r="D4" s="125" t="str">
        <x:v>Open proportion</x:v>
      </x:c>
      <x:c r="E4" s="125" t="str">
        <x:v>Nominal open area km²</x:v>
      </x:c>
      <x:c r="F4" s="125" t="str">
        <x:v>M2 cells</x:v>
      </x:c>
      <x:c r="G4" s="125" t="str">
        <x:v>M4 cells</x:v>
      </x:c>
      <x:c r="H4" s="125" t="str">
        <x:v>Total nominal grid area km²</x:v>
      </x:c>
      <x:c r="I4" s="125" t="str">
        <x:v>Interpretive note</x:v>
      </x:c>
    </x:row>
    <x:row r="5">
      <x:c r="A5" s="45" t="n">
        <x:v>250</x:v>
      </x:c>
      <x:c r="B5" s="45" t="n">
        <x:v>1554</x:v>
      </x:c>
      <x:c r="C5" s="45" t="n">
        <x:v>49</x:v>
      </x:c>
      <x:c r="D5" s="126" t="n">
        <x:v>0.03153153153153153</x:v>
      </x:c>
      <x:c r="E5" s="130" t="n">
        <x:v>12250</x:v>
      </x:c>
      <x:c r="F5" s="45" t="n">
        <x:v>3</x:v>
      </x:c>
      <x:c r="G5" s="45" t="n">
        <x:v>46</x:v>
      </x:c>
      <x:c r="H5" s="130" t="n">
        <x:v>388500</x:v>
      </x:c>
      <x:c r="I5" s="45" t="str">
        <x:v>Finer support: lower proportion of open cells.</x:v>
      </x:c>
    </x:row>
    <x:row r="6">
      <x:c r="A6" s="45" t="n">
        <x:v>500</x:v>
      </x:c>
      <x:c r="B6" s="45" t="n">
        <x:v>793</x:v>
      </x:c>
      <x:c r="C6" s="45" t="n">
        <x:v>37</x:v>
      </x:c>
      <x:c r="D6" s="126" t="n">
        <x:v>0.04665825977301387</x:v>
      </x:c>
      <x:c r="E6" s="130" t="n">
        <x:v>18500</x:v>
      </x:c>
      <x:c r="F6" s="45" t="n">
        <x:v>3</x:v>
      </x:c>
      <x:c r="G6" s="45" t="n">
        <x:v>34</x:v>
      </x:c>
      <x:c r="H6" s="130" t="n">
        <x:v>396500</x:v>
      </x:c>
      <x:c r="I6" s="45" t="str">
        <x:v>Open-cell count falls, but proportional coverage rises.</x:v>
      </x:c>
    </x:row>
    <x:row r="7">
      <x:c r="A7" s="45" t="n">
        <x:v>1000</x:v>
      </x:c>
      <x:c r="B7" s="45" t="n">
        <x:v>412</x:v>
      </x:c>
      <x:c r="C7" s="45" t="n">
        <x:v>24</x:v>
      </x:c>
      <x:c r="D7" s="126" t="n">
        <x:v>0.05825242718446602</x:v>
      </x:c>
      <x:c r="E7" s="130" t="n">
        <x:v>24000</x:v>
      </x:c>
      <x:c r="F7" s="45" t="n">
        <x:v>2</x:v>
      </x:c>
      <x:c r="G7" s="45" t="n">
        <x:v>22</x:v>
      </x:c>
      <x:c r="H7" s="130" t="n">
        <x:v>412000</x:v>
      </x:c>
      <x:c r="I7" s="45" t="str">
        <x:v>Coarser support captures more evidence per cell; apparent evaluability rises.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15" hidden="0" customWidth="1"/>
    <x:col min="5" max="5" width="18" hidden="0" customWidth="1"/>
    <x:col min="6" max="6" width="18" hidden="0" customWidth="1"/>
    <x:col min="7" max="7" width="16" hidden="0" customWidth="1"/>
    <x:col min="8" max="8" width="43" hidden="0" customWidth="1"/>
    <x:col min="9" max="9" width="50" hidden="0" customWidth="1"/>
  </x:cols>
  <x:sheetData>
    <x:row r="1">
      <x:c r="A1" s="138" t="str">
        <x:v>T-D — Structural contract-sensitivity stress test on the frozen PAG-ETR pilot</x:v>
      </x:c>
      <x:c r="B1" s="138"/>
      <x:c r="C1" s="138"/>
      <x:c r="D1" s="138"/>
      <x:c r="E1" s="138"/>
      <x:c r="F1" s="138"/>
      <x:c r="G1" s="138"/>
      <x:c r="H1" s="138"/>
      <x:c r="I1" s="138"/>
    </x:row>
    <x:row r="2">
      <x:c r="A2" s="142" t="str">
        <x:v>These scenarios are stress tests of contract dependence, not alternative geological models claimed to be equally valid. They show how the same evidence changes target state when the scientific question/contract is changed.</x:v>
      </x:c>
      <x:c r="B2" s="142"/>
      <x:c r="C2" s="142"/>
      <x:c r="D2" s="142"/>
      <x:c r="E2" s="142"/>
      <x:c r="F2" s="142"/>
      <x:c r="G2" s="142"/>
      <x:c r="H2" s="142"/>
      <x:c r="I2" s="142"/>
    </x:row>
    <x:row r="4">
      <x:c r="A4" s="147" t="str">
        <x:v>Scale</x:v>
      </x:c>
      <x:c r="B4" s="147" t="str">
        <x:v>Contract scenario</x:v>
      </x:c>
      <x:c r="C4" s="147" t="str">
        <x:v>Operator / evidence keys</x:v>
      </x:c>
      <x:c r="D4" s="147" t="str">
        <x:v>SUPPORTABLE</x:v>
      </x:c>
      <x:c r="E4" s="147" t="str">
        <x:v>NON_EVALUABLE</x:v>
      </x:c>
      <x:c r="F4" s="147" t="str">
        <x:v>Change vs baseline</x:v>
      </x:c>
      <x:c r="G4" s="147" t="str">
        <x:v>Supportable %</x:v>
      </x:c>
      <x:c r="H4" s="147" t="str">
        <x:v>Scientific meaning</x:v>
      </x:c>
      <x:c r="I4" s="147" t="str">
        <x:v>Interpretation</x:v>
      </x:c>
    </x:row>
    <x:row r="5">
      <x:c r="A5" s="45" t="n">
        <x:v>250</x:v>
      </x:c>
      <x:c r="B5" s="45" t="str">
        <x:v>baseline_ANY</x:v>
      </x:c>
      <x:c r="C5" s="45" t="str">
        <x:v>ANY(M2,M4)</x:v>
      </x:c>
      <x:c r="D5" s="45" t="n">
        <x:v>49</x:v>
      </x:c>
      <x:c r="E5" s="45" t="n">
        <x:v>1505</x:v>
      </x:c>
      <x:c r="F5" s="45" t="n">
        <x:v>0</x:v>
      </x:c>
      <x:c r="G5" s="126" t="n">
        <x:v>0.03153153153153153</x:v>
      </x:c>
      <x:c r="H5" s="45" t="str">
        <x:v>Original reproduced pilot question</x:v>
      </x:c>
      <x:c r="I5" s="45" t="str">
        <x:v>Baseline frozen contract.</x:v>
      </x:c>
    </x:row>
    <x:row r="6">
      <x:c r="A6" s="45" t="n">
        <x:v>250</x:v>
      </x:c>
      <x:c r="B6" s="45" t="str">
        <x:v>M2_only</x:v>
      </x:c>
      <x:c r="C6" s="45" t="str">
        <x:v>ANY(M2)</x:v>
      </x:c>
      <x:c r="D6" s="45" t="n">
        <x:v>3</x:v>
      </x:c>
      <x:c r="E6" s="45" t="n">
        <x:v>1551</x:v>
      </x:c>
      <x:c r="F6" s="45" t="n">
        <x:v>-46</x:v>
      </x:c>
      <x:c r="G6" s="126" t="n">
        <x:v>0.0019305019305019305</x:v>
      </x:c>
      <x:c r="H6" s="45" t="str">
        <x:v>Restricts evaluability to the M2 pathway</x:v>
      </x:c>
      <x:c r="I6" s="45" t="str">
        <x:v>Stress-test only; demonstrates dependence on declared contract, not model superiority.</x:v>
      </x:c>
    </x:row>
    <x:row r="7">
      <x:c r="A7" s="45" t="n">
        <x:v>250</x:v>
      </x:c>
      <x:c r="B7" s="45" t="str">
        <x:v>M4_only</x:v>
      </x:c>
      <x:c r="C7" s="45" t="str">
        <x:v>ANY(M4)</x:v>
      </x:c>
      <x:c r="D7" s="45" t="n">
        <x:v>46</x:v>
      </x:c>
      <x:c r="E7" s="45" t="n">
        <x:v>1508</x:v>
      </x:c>
      <x:c r="F7" s="45" t="n">
        <x:v>-3</x:v>
      </x:c>
      <x:c r="G7" s="126" t="n">
        <x:v>0.029601029601029602</x:v>
      </x:c>
      <x:c r="H7" s="45" t="str">
        <x:v>Restricts evaluability to the M4 pathway</x:v>
      </x:c>
      <x:c r="I7" s="45" t="str">
        <x:v>Stress-test only; demonstrates dependence on declared contract, not model superiority.</x:v>
      </x:c>
    </x:row>
    <x:row r="8">
      <x:c r="A8" s="45" t="n">
        <x:v>250</x:v>
      </x:c>
      <x:c r="B8" s="45" t="str">
        <x:v>ALL_M2_M4</x:v>
      </x:c>
      <x:c r="C8" s="45" t="str">
        <x:v>ALL(M2,M4)</x:v>
      </x:c>
      <x:c r="D8" s="45" t="n">
        <x:v>0</x:v>
      </x:c>
      <x:c r="E8" s="45" t="n">
        <x:v>1554</x:v>
      </x:c>
      <x:c r="F8" s="45" t="n">
        <x:v>-49</x:v>
      </x:c>
      <x:c r="G8" s="126" t="n">
        <x:v>0</x:v>
      </x:c>
      <x:c r="H8" s="45" t="str">
        <x:v>Requires simultaneous support from M2 and M4</x:v>
      </x:c>
      <x:c r="I8" s="45" t="str">
        <x:v>Stress-test only; demonstrates dependence on declared contract, not model superiority.</x:v>
      </x:c>
    </x:row>
    <x:row r="9">
      <x:c r="A9" s="45" t="n">
        <x:v>250</x:v>
      </x:c>
      <x:c r="B9" s="45" t="str">
        <x:v>COUNT_AT_LEAST_2</x:v>
      </x:c>
      <x:c r="C9" s="45" t="str">
        <x:v>COUNT_AT_LEAST(2; M2,M4)</x:v>
      </x:c>
      <x:c r="D9" s="45" t="n">
        <x:v>0</x:v>
      </x:c>
      <x:c r="E9" s="45" t="n">
        <x:v>1554</x:v>
      </x:c>
      <x:c r="F9" s="45" t="n">
        <x:v>-49</x:v>
      </x:c>
      <x:c r="G9" s="126" t="n">
        <x:v>0</x:v>
      </x:c>
      <x:c r="H9" s="45" t="str">
        <x:v>Requires two supported model pathways</x:v>
      </x:c>
      <x:c r="I9" s="45" t="str">
        <x:v>Stress-test only; demonstrates dependence on declared contract, not model superiority.</x:v>
      </x:c>
    </x:row>
    <x:row r="10">
      <x:c r="A10" s="45" t="n">
        <x:v>500</x:v>
      </x:c>
      <x:c r="B10" s="45" t="str">
        <x:v>baseline_ANY</x:v>
      </x:c>
      <x:c r="C10" s="45" t="str">
        <x:v>ANY(M2,M4)</x:v>
      </x:c>
      <x:c r="D10" s="45" t="n">
        <x:v>37</x:v>
      </x:c>
      <x:c r="E10" s="45" t="n">
        <x:v>756</x:v>
      </x:c>
      <x:c r="F10" s="45" t="n">
        <x:v>0</x:v>
      </x:c>
      <x:c r="G10" s="126" t="n">
        <x:v>0.04665825977301387</x:v>
      </x:c>
      <x:c r="H10" s="45" t="str">
        <x:v>Original reproduced pilot question</x:v>
      </x:c>
      <x:c r="I10" s="45" t="str">
        <x:v>Baseline frozen contract.</x:v>
      </x:c>
    </x:row>
    <x:row r="11">
      <x:c r="A11" s="45" t="n">
        <x:v>500</x:v>
      </x:c>
      <x:c r="B11" s="45" t="str">
        <x:v>M2_only</x:v>
      </x:c>
      <x:c r="C11" s="45" t="str">
        <x:v>ANY(M2)</x:v>
      </x:c>
      <x:c r="D11" s="45" t="n">
        <x:v>3</x:v>
      </x:c>
      <x:c r="E11" s="45" t="n">
        <x:v>790</x:v>
      </x:c>
      <x:c r="F11" s="45" t="n">
        <x:v>-34</x:v>
      </x:c>
      <x:c r="G11" s="126" t="n">
        <x:v>0.0037831021437578815</x:v>
      </x:c>
      <x:c r="H11" s="45" t="str">
        <x:v>Restricts evaluability to the M2 pathway</x:v>
      </x:c>
      <x:c r="I11" s="45" t="str">
        <x:v>Stress-test only; demonstrates dependence on declared contract, not model superiority.</x:v>
      </x:c>
    </x:row>
    <x:row r="12">
      <x:c r="A12" s="45" t="n">
        <x:v>500</x:v>
      </x:c>
      <x:c r="B12" s="45" t="str">
        <x:v>M4_only</x:v>
      </x:c>
      <x:c r="C12" s="45" t="str">
        <x:v>ANY(M4)</x:v>
      </x:c>
      <x:c r="D12" s="45" t="n">
        <x:v>34</x:v>
      </x:c>
      <x:c r="E12" s="45" t="n">
        <x:v>759</x:v>
      </x:c>
      <x:c r="F12" s="45" t="n">
        <x:v>-3</x:v>
      </x:c>
      <x:c r="G12" s="126" t="n">
        <x:v>0.04287515762925599</x:v>
      </x:c>
      <x:c r="H12" s="45" t="str">
        <x:v>Restricts evaluability to the M4 pathway</x:v>
      </x:c>
      <x:c r="I12" s="45" t="str">
        <x:v>Stress-test only; demonstrates dependence on declared contract, not model superiority.</x:v>
      </x:c>
    </x:row>
    <x:row r="13">
      <x:c r="A13" s="45" t="n">
        <x:v>500</x:v>
      </x:c>
      <x:c r="B13" s="45" t="str">
        <x:v>ALL_M2_M4</x:v>
      </x:c>
      <x:c r="C13" s="45" t="str">
        <x:v>ALL(M2,M4)</x:v>
      </x:c>
      <x:c r="D13" s="45" t="n">
        <x:v>0</x:v>
      </x:c>
      <x:c r="E13" s="45" t="n">
        <x:v>793</x:v>
      </x:c>
      <x:c r="F13" s="45" t="n">
        <x:v>-37</x:v>
      </x:c>
      <x:c r="G13" s="126" t="n">
        <x:v>0</x:v>
      </x:c>
      <x:c r="H13" s="45" t="str">
        <x:v>Requires simultaneous support from M2 and M4</x:v>
      </x:c>
      <x:c r="I13" s="45" t="str">
        <x:v>Stress-test only; demonstrates dependence on declared contract, not model superiority.</x:v>
      </x:c>
    </x:row>
    <x:row r="14">
      <x:c r="A14" s="45" t="n">
        <x:v>500</x:v>
      </x:c>
      <x:c r="B14" s="45" t="str">
        <x:v>COUNT_AT_LEAST_2</x:v>
      </x:c>
      <x:c r="C14" s="45" t="str">
        <x:v>COUNT_AT_LEAST(2; M2,M4)</x:v>
      </x:c>
      <x:c r="D14" s="45" t="n">
        <x:v>0</x:v>
      </x:c>
      <x:c r="E14" s="45" t="n">
        <x:v>793</x:v>
      </x:c>
      <x:c r="F14" s="45" t="n">
        <x:v>-37</x:v>
      </x:c>
      <x:c r="G14" s="126" t="n">
        <x:v>0</x:v>
      </x:c>
      <x:c r="H14" s="45" t="str">
        <x:v>Requires two supported model pathways</x:v>
      </x:c>
      <x:c r="I14" s="45" t="str">
        <x:v>Stress-test only; demonstrates dependence on declared contract, not model superiority.</x:v>
      </x:c>
    </x:row>
    <x:row r="15">
      <x:c r="A15" s="45" t="n">
        <x:v>1000</x:v>
      </x:c>
      <x:c r="B15" s="45" t="str">
        <x:v>baseline_ANY</x:v>
      </x:c>
      <x:c r="C15" s="45" t="str">
        <x:v>ANY(M2,M4)</x:v>
      </x:c>
      <x:c r="D15" s="45" t="n">
        <x:v>24</x:v>
      </x:c>
      <x:c r="E15" s="45" t="n">
        <x:v>388</x:v>
      </x:c>
      <x:c r="F15" s="45" t="n">
        <x:v>0</x:v>
      </x:c>
      <x:c r="G15" s="126" t="n">
        <x:v>0.05825242718446602</x:v>
      </x:c>
      <x:c r="H15" s="45" t="str">
        <x:v>Original reproduced pilot question</x:v>
      </x:c>
      <x:c r="I15" s="45" t="str">
        <x:v>Baseline frozen contract.</x:v>
      </x:c>
    </x:row>
    <x:row r="16">
      <x:c r="A16" s="45" t="n">
        <x:v>1000</x:v>
      </x:c>
      <x:c r="B16" s="45" t="str">
        <x:v>M2_only</x:v>
      </x:c>
      <x:c r="C16" s="45" t="str">
        <x:v>ANY(M2)</x:v>
      </x:c>
      <x:c r="D16" s="45" t="n">
        <x:v>2</x:v>
      </x:c>
      <x:c r="E16" s="45" t="n">
        <x:v>410</x:v>
      </x:c>
      <x:c r="F16" s="45" t="n">
        <x:v>-22</x:v>
      </x:c>
      <x:c r="G16" s="126" t="n">
        <x:v>0.0048543689320388345</x:v>
      </x:c>
      <x:c r="H16" s="45" t="str">
        <x:v>Restricts evaluability to the M2 pathway</x:v>
      </x:c>
      <x:c r="I16" s="45" t="str">
        <x:v>Stress-test only; demonstrates dependence on declared contract, not model superiority.</x:v>
      </x:c>
    </x:row>
    <x:row r="17">
      <x:c r="A17" s="45" t="n">
        <x:v>1000</x:v>
      </x:c>
      <x:c r="B17" s="45" t="str">
        <x:v>M4_only</x:v>
      </x:c>
      <x:c r="C17" s="45" t="str">
        <x:v>ANY(M4)</x:v>
      </x:c>
      <x:c r="D17" s="45" t="n">
        <x:v>22</x:v>
      </x:c>
      <x:c r="E17" s="45" t="n">
        <x:v>390</x:v>
      </x:c>
      <x:c r="F17" s="45" t="n">
        <x:v>-2</x:v>
      </x:c>
      <x:c r="G17" s="126" t="n">
        <x:v>0.05339805825242718</x:v>
      </x:c>
      <x:c r="H17" s="45" t="str">
        <x:v>Restricts evaluability to the M4 pathway</x:v>
      </x:c>
      <x:c r="I17" s="45" t="str">
        <x:v>Stress-test only; demonstrates dependence on declared contract, not model superiority.</x:v>
      </x:c>
    </x:row>
    <x:row r="18">
      <x:c r="A18" s="45" t="n">
        <x:v>1000</x:v>
      </x:c>
      <x:c r="B18" s="45" t="str">
        <x:v>ALL_M2_M4</x:v>
      </x:c>
      <x:c r="C18" s="45" t="str">
        <x:v>ALL(M2,M4)</x:v>
      </x:c>
      <x:c r="D18" s="45" t="n">
        <x:v>0</x:v>
      </x:c>
      <x:c r="E18" s="45" t="n">
        <x:v>412</x:v>
      </x:c>
      <x:c r="F18" s="45" t="n">
        <x:v>-24</x:v>
      </x:c>
      <x:c r="G18" s="126" t="n">
        <x:v>0</x:v>
      </x:c>
      <x:c r="H18" s="45" t="str">
        <x:v>Requires simultaneous support from M2 and M4</x:v>
      </x:c>
      <x:c r="I18" s="45" t="str">
        <x:v>Stress-test only; demonstrates dependence on declared contract, not model superiority.</x:v>
      </x:c>
    </x:row>
    <x:row r="19">
      <x:c r="A19" s="45" t="n">
        <x:v>1000</x:v>
      </x:c>
      <x:c r="B19" s="45" t="str">
        <x:v>COUNT_AT_LEAST_2</x:v>
      </x:c>
      <x:c r="C19" s="45" t="str">
        <x:v>COUNT_AT_LEAST(2; M2,M4)</x:v>
      </x:c>
      <x:c r="D19" s="45" t="n">
        <x:v>0</x:v>
      </x:c>
      <x:c r="E19" s="45" t="n">
        <x:v>412</x:v>
      </x:c>
      <x:c r="F19" s="45" t="n">
        <x:v>-24</x:v>
      </x:c>
      <x:c r="G19" s="126" t="n">
        <x:v>0</x:v>
      </x:c>
      <x:c r="H19" s="45" t="str">
        <x:v>Requires two supported model pathways</x:v>
      </x:c>
      <x:c r="I19" s="45" t="str">
        <x:v>Stress-test only; demonstrates dependence on declared contract, not model superiority.</x:v>
      </x:c>
    </x:row>
    <x:row r="21">
      <x:c r="A21" s="151" t="str">
        <x:v>Aggregate effect across all three supports</x:v>
      </x:c>
      <x:c r="B21" s="151"/>
      <x:c r="C21" s="151"/>
      <x:c r="D21" s="151"/>
      <x:c r="E21" s="151"/>
      <x:c r="F21" s="151"/>
      <x:c r="G21" s="151"/>
      <x:c r="H21" s="151"/>
      <x:c r="I21" s="151"/>
    </x:row>
    <x:row r="22">
      <x:c r="A22" s="147" t="str">
        <x:v>Scenario</x:v>
      </x:c>
      <x:c r="B22" s="147" t="str">
        <x:v>SUPPORTABLE total</x:v>
      </x:c>
      <x:c r="C22" s="147" t="str">
        <x:v>Change vs baseline</x:v>
      </x:c>
      <x:c r="D22" s="147" t="str">
        <x:v>Share of 2,759 cell-scale cases</x:v>
      </x:c>
      <x:c r="E22" s="147" t="str">
        <x:v>Key result</x:v>
      </x:c>
    </x:row>
    <x:row r="23">
      <x:c r="A23" s="18" t="str">
        <x:v>baseline_ANY</x:v>
      </x:c>
      <x:c r="B23" s="18" t="n">
        <x:v>110</x:v>
      </x:c>
      <x:c r="C23" s="18" t="n">
        <x:v>0</x:v>
      </x:c>
      <x:c r="D23" s="148" t="n">
        <x:v>0.03986951794128307</x:v>
      </x:c>
      <x:c r="E23" s="18" t="str">
        <x:v>Original PAG contract reproduced exactly.</x:v>
      </x:c>
    </x:row>
    <x:row r="24">
      <x:c r="A24" s="18" t="str">
        <x:v>M2_only</x:v>
      </x:c>
      <x:c r="B24" s="18" t="n">
        <x:v>8</x:v>
      </x:c>
      <x:c r="C24" s="18" t="n">
        <x:v>-102</x:v>
      </x:c>
      <x:c r="D24" s="148" t="n">
        <x:v>0.002899601304820587</x:v>
      </x:c>
      <x:c r="E24" s="18" t="str">
        <x:v>Most baseline-supportable cases depend on M4 rather than M2.</x:v>
      </x:c>
    </x:row>
    <x:row r="25">
      <x:c r="A25" s="18" t="str">
        <x:v>M4_only</x:v>
      </x:c>
      <x:c r="B25" s="18" t="n">
        <x:v>102</x:v>
      </x:c>
      <x:c r="C25" s="18" t="n">
        <x:v>-8</x:v>
      </x:c>
      <x:c r="D25" s="148" t="n">
        <x:v>0.036969916636462485</x:v>
      </x:c>
      <x:c r="E25" s="18" t="str">
        <x:v>M4 accounts for most supportable cases in the frozen pilot.</x:v>
      </x:c>
    </x:row>
    <x:row r="26">
      <x:c r="A26" s="18" t="str">
        <x:v>ALL_M2_M4</x:v>
      </x:c>
      <x:c r="B26" s="18" t="n">
        <x:v>0</x:v>
      </x:c>
      <x:c r="C26" s="18" t="n">
        <x:v>-110</x:v>
      </x:c>
      <x:c r="D26" s="148" t="n">
        <x:v>0</x:v>
      </x:c>
      <x:c r="E26" s="18" t="str">
        <x:v>No cell has simultaneous M2 and M4 support in this pilot.</x:v>
      </x:c>
    </x:row>
    <x:row r="27">
      <x:c r="A27" s="18" t="str">
        <x:v>COUNT_AT_LEAST_2</x:v>
      </x:c>
      <x:c r="B27" s="18" t="n">
        <x:v>0</x:v>
      </x:c>
      <x:c r="C27" s="18" t="n">
        <x:v>-110</x:v>
      </x:c>
      <x:c r="D27" s="148" t="n">
        <x:v>0</x:v>
      </x:c>
      <x:c r="E27" s="18" t="str">
        <x:v>Equivalent stress result because only two pathways exist and none overlap.</x:v>
      </x:c>
    </x:row>
  </x:sheetData>
  <x:mergeCells>
    <x:mergeCell ref="A1:I1"/>
    <x:mergeCell ref="A2:I2"/>
    <x:mergeCell ref="A21:I2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38" t="str">
        <x:v>ITA ARANDU MS — quantitative evidence used to strengthen manuscript §3.2</x:v>
      </x:c>
      <x:c r="B1" s="138"/>
      <x:c r="C1" s="138"/>
      <x:c r="D1" s="138"/>
      <x:c r="E1" s="138"/>
      <x:c r="F1" s="138"/>
      <x:c r="G1" s="138"/>
      <x:c r="H1" s="138"/>
      <x:c r="I1" s="138"/>
      <x:c r="J1" s="138"/>
    </x:row>
    <x:row r="2">
      <x:c r="A2" s="142" t="str">
        <x:v>Source: read-only repository audit of the seven base dimensions. Percentages are documented coverage at each support; zero cells have simultaneous numerical values in all seven dimensions at 250, 500 or 1,000 km².</x:v>
      </x:c>
      <x:c r="B2" s="142"/>
      <x:c r="C2" s="142"/>
      <x:c r="D2" s="142"/>
      <x:c r="E2" s="142"/>
      <x:c r="F2" s="142"/>
      <x:c r="G2" s="142"/>
      <x:c r="H2" s="142"/>
      <x:c r="I2" s="142"/>
      <x:c r="J2" s="142"/>
    </x:row>
    <x:row r="4">
      <x:c r="A4" s="147" t="str">
        <x:v>Scale km²</x:v>
      </x:c>
      <x:c r="B4" s="147" t="str">
        <x:v>Total cells</x:v>
      </x:c>
      <x:c r="C4" s="147" t="str">
        <x:v>IMC n / %</x:v>
      </x:c>
      <x:c r="D4" s="147" t="str">
        <x:v>IOD n / %</x:v>
      </x:c>
      <x:c r="E4" s="147" t="str">
        <x:v>ICP n / %</x:v>
      </x:c>
      <x:c r="F4" s="147" t="str">
        <x:v>IGC n / %</x:v>
      </x:c>
      <x:c r="G4" s="147" t="str">
        <x:v>IGQ n / %</x:v>
      </x:c>
      <x:c r="H4" s="147" t="str">
        <x:v>IGF n / %</x:v>
      </x:c>
      <x:c r="I4" s="147" t="str">
        <x:v>ICS n / %</x:v>
      </x:c>
      <x:c r="J4" s="147" t="str">
        <x:v>Cells with 7/7</x:v>
      </x:c>
    </x:row>
    <x:row r="5">
      <x:c r="A5" s="18" t="n">
        <x:v>250</x:v>
      </x:c>
      <x:c r="B5" s="18" t="n">
        <x:v>1554</x:v>
      </x:c>
      <x:c r="C5" s="18" t="str">
        <x:v>1554 / 100.0%</x:v>
      </x:c>
      <x:c r="D5" s="18" t="str">
        <x:v>437 / 28.1%</x:v>
      </x:c>
      <x:c r="E5" s="18" t="str">
        <x:v>37 / 2.4%</x:v>
      </x:c>
      <x:c r="F5" s="18" t="str">
        <x:v>2 / 0.1%</x:v>
      </x:c>
      <x:c r="G5" s="18" t="str">
        <x:v>84 / 5.4%</x:v>
      </x:c>
      <x:c r="H5" s="18" t="str">
        <x:v>1232 / 79.3%</x:v>
      </x:c>
      <x:c r="I5" s="18" t="str">
        <x:v>474 / 30.5%</x:v>
      </x:c>
      <x:c r="J5" s="18" t="n">
        <x:v>0</x:v>
      </x:c>
    </x:row>
    <x:row r="6">
      <x:c r="A6" s="18" t="n">
        <x:v>500</x:v>
      </x:c>
      <x:c r="B6" s="18" t="n">
        <x:v>793</x:v>
      </x:c>
      <x:c r="C6" s="18" t="str">
        <x:v>793 / 100.0%</x:v>
      </x:c>
      <x:c r="D6" s="18" t="str">
        <x:v>265 / 33.4%</x:v>
      </x:c>
      <x:c r="E6" s="18" t="str">
        <x:v>25 / 3.2%</x:v>
      </x:c>
      <x:c r="F6" s="18" t="str">
        <x:v>3 / 0.4%</x:v>
      </x:c>
      <x:c r="G6" s="18" t="str">
        <x:v>58 / 7.3%</x:v>
      </x:c>
      <x:c r="H6" s="18" t="str">
        <x:v>630 / 79.4%</x:v>
      </x:c>
      <x:c r="I6" s="18" t="str">
        <x:v>335 / 42.2%</x:v>
      </x:c>
      <x:c r="J6" s="18" t="n">
        <x:v>0</x:v>
      </x:c>
    </x:row>
    <x:row r="7">
      <x:c r="A7" s="18" t="n">
        <x:v>1000</x:v>
      </x:c>
      <x:c r="B7" s="18" t="n">
        <x:v>412</x:v>
      </x:c>
      <x:c r="C7" s="18" t="str">
        <x:v>412 / 100.0%</x:v>
      </x:c>
      <x:c r="D7" s="18" t="str">
        <x:v>156 / 37.9%</x:v>
      </x:c>
      <x:c r="E7" s="18" t="str">
        <x:v>18 / 4.4%</x:v>
      </x:c>
      <x:c r="F7" s="18" t="str">
        <x:v>2 / 0.5%</x:v>
      </x:c>
      <x:c r="G7" s="18" t="str">
        <x:v>35 / 8.5%</x:v>
      </x:c>
      <x:c r="H7" s="18" t="str">
        <x:v>336 / 81.6%</x:v>
      </x:c>
      <x:c r="I7" s="18" t="str">
        <x:v>224 / 54.4%</x:v>
      </x:c>
      <x:c r="J7" s="18" t="n">
        <x:v>0</x:v>
      </x:c>
    </x:row>
    <x:row r="10">
      <x:c r="A10" s="151" t="str">
        <x:v>Audit interpretation</x:v>
      </x:c>
      <x:c r="B10" s="151"/>
      <x:c r="C10" s="151"/>
      <x:c r="D10" s="151"/>
      <x:c r="E10" s="151"/>
      <x:c r="F10" s="151"/>
      <x:c r="G10" s="151"/>
      <x:c r="H10" s="151"/>
      <x:c r="I10" s="151"/>
      <x:c r="J10" s="151"/>
    </x:row>
    <x:row r="11">
      <x:c r="A11" s="147" t="str">
        <x:v>Finding</x:v>
      </x:c>
      <x:c r="B11" s="147" t="str">
        <x:v>Implication</x:v>
      </x:c>
    </x:row>
    <x:row r="12">
      <x:c r="A12" s="18" t="str">
        <x:v>Extreme heterogeneity</x:v>
      </x:c>
      <x:c r="B12" s="18" t="str">
        <x:v>Coverage spans from 0.1% (IGC at 250 km²) to &gt;79% (IGF), so a single generic density score would hide evidence-type differences.</x:v>
      </x:c>
    </x:row>
    <x:row r="13">
      <x:c r="A13" s="18" t="str">
        <x:v>Support effect</x:v>
      </x:c>
      <x:c r="B13" s="18" t="str">
        <x:v>IOD coverage rises 28.1%→37.9% and ICS 30.5%→54.4% as support coarsens, without acquiring new observations.</x:v>
      </x:c>
    </x:row>
    <x:row r="14">
      <x:c r="A14" s="18" t="str">
        <x:v>No complete cases</x:v>
      </x:c>
      <x:c r="B14" s="18" t="str">
        <x:v>0 cells have 7/7 numerical dimensions at all three audited supports.</x:v>
      </x:c>
    </x:row>
    <x:row r="15">
      <x:c r="A15" s="18" t="str">
        <x:v>Synthesis gate</x:v>
      </x:c>
      <x:c r="B15" s="18" t="str">
        <x:v>Because prerequisites/integrity are incomplete, the documented synthesis gate remains BLOCKED rather than imputing or averaging missing dimensions.</x:v>
      </x:c>
    </x:row>
  </x:sheetData>
  <x:mergeCells>
    <x:mergeCell ref="A1:J1"/>
    <x:mergeCell ref="A2:J2"/>
    <x:mergeCell ref="A10:J10"/>
  </x:mergeCells>
  <x:pageMargins left="0.7" right="0.7" top="0.75" bottom="0.75" header="0.3" footer="0.3"/>
</x:worksheet>
</file>